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929"/>
  <workbookPr showInkAnnotation="0"/>
  <mc:AlternateContent xmlns:mc="http://schemas.openxmlformats.org/markup-compatibility/2006">
    <mc:Choice Requires="x15">
      <x15ac:absPath xmlns:x15ac="http://schemas.microsoft.com/office/spreadsheetml/2010/11/ac" url="D:\OMG\E-Board\"/>
    </mc:Choice>
  </mc:AlternateContent>
  <xr:revisionPtr revIDLastSave="0" documentId="13_ncr:1_{4999CCD6-F423-440E-B7AF-65E03C2751EC}" xr6:coauthVersionLast="44" xr6:coauthVersionMax="44" xr10:uidLastSave="{00000000-0000-0000-0000-000000000000}"/>
  <bookViews>
    <workbookView xWindow="-120" yWindow="-120" windowWidth="29040" windowHeight="16440" xr2:uid="{00000000-000D-0000-FFFF-FFFF00000000}"/>
  </bookViews>
  <sheets>
    <sheet name="Bestandsliste Privathaushalt" sheetId="1" r:id="rId1"/>
  </sheets>
  <definedNames>
    <definedName name="_xlnm.Print_Titles" localSheetId="0">'Bestandsliste Privathaushalt'!$5:$5</definedName>
    <definedName name="Lieferungskosten">Liste[Lieferungs-
kosten]</definedName>
    <definedName name="Name">'Bestandsliste Privathaushalt'!$C$2</definedName>
    <definedName name="Titel1">#REF!</definedName>
    <definedName name="ZeilenTitelBereich1..C10">'Bestandsliste Privathaushalt'!$B$2</definedName>
  </definedNames>
  <calcPr calcId="191029"/>
  <fileRecoveryPr autoRecover="0"/>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J56" i="1" l="1"/>
  <c r="J57" i="1"/>
  <c r="J54" i="1" l="1"/>
  <c r="J55" i="1"/>
  <c r="J52" i="1" l="1"/>
  <c r="J53" i="1"/>
  <c r="J47" i="1" l="1"/>
  <c r="J48" i="1"/>
  <c r="J49" i="1"/>
  <c r="J50" i="1"/>
  <c r="J51" i="1"/>
  <c r="J46" i="1" l="1"/>
  <c r="J44" i="1" l="1"/>
  <c r="J45" i="1"/>
  <c r="J42" i="1" l="1"/>
  <c r="J43" i="1"/>
  <c r="J39" i="1" l="1"/>
  <c r="J40" i="1"/>
  <c r="J41" i="1"/>
  <c r="J29" i="1" l="1"/>
  <c r="J30" i="1"/>
  <c r="J31" i="1"/>
  <c r="J32" i="1"/>
  <c r="J33" i="1"/>
  <c r="J34" i="1"/>
  <c r="J35" i="1"/>
  <c r="J36" i="1"/>
  <c r="J37" i="1"/>
  <c r="J38" i="1"/>
  <c r="J28" i="1"/>
  <c r="J16" i="1" l="1"/>
  <c r="J17" i="1"/>
  <c r="J18" i="1"/>
  <c r="J19" i="1"/>
  <c r="J20" i="1"/>
  <c r="J21" i="1"/>
  <c r="J22" i="1"/>
  <c r="J23" i="1"/>
  <c r="J24" i="1"/>
  <c r="J25" i="1"/>
  <c r="J26" i="1"/>
  <c r="J27" i="1"/>
  <c r="J15" i="1" l="1"/>
  <c r="J14" i="1" l="1"/>
  <c r="J13" i="1" l="1"/>
  <c r="J12" i="1"/>
  <c r="I7" i="1" l="1"/>
  <c r="G11" i="1" l="1"/>
  <c r="J11" i="1"/>
  <c r="J10" i="1" l="1"/>
  <c r="J9" i="1"/>
  <c r="J7" i="1" l="1"/>
  <c r="J8" i="1"/>
  <c r="J6" i="1"/>
  <c r="B1" i="1"/>
  <c r="C3" i="1" l="1"/>
</calcChain>
</file>

<file path=xl/sharedStrings.xml><?xml version="1.0" encoding="utf-8"?>
<sst xmlns="http://schemas.openxmlformats.org/spreadsheetml/2006/main" count="230" uniqueCount="115">
  <si>
    <t>Name</t>
  </si>
  <si>
    <t>Geschätzter Gesamtwert aller Artikel</t>
  </si>
  <si>
    <t>Artikel/Beschreibung</t>
  </si>
  <si>
    <r>
      <rPr>
        <b/>
        <sz val="11"/>
        <color theme="0"/>
        <rFont val="Arial"/>
        <family val="2"/>
        <scheme val="minor"/>
      </rPr>
      <t xml:space="preserve">Tipp: </t>
    </r>
    <r>
      <rPr>
        <sz val="11"/>
        <color theme="0"/>
        <rFont val="Arial"/>
        <family val="2"/>
        <scheme val="minor"/>
      </rPr>
      <t>Sinnvollerweise sollten Sie ein ausgedrucktes Exemplar dieser Liste in einem brandsicheren Safe, einem Bankschließfach oder an einem anderen Ort außerhalb Ihres Zuhauses aufbewahren.</t>
    </r>
  </si>
  <si>
    <t>Fabrikat/Modell</t>
  </si>
  <si>
    <t>Seriennummer/
ID-Nummer</t>
  </si>
  <si>
    <t>Kaufdatum</t>
  </si>
  <si>
    <t>Einkaufsquelle</t>
  </si>
  <si>
    <t>Anmerkungen</t>
  </si>
  <si>
    <t>Foto?</t>
  </si>
  <si>
    <t>Lieferungs-
kosten</t>
  </si>
  <si>
    <t>Gesamtkosten</t>
  </si>
  <si>
    <t>Kaufpreis</t>
  </si>
  <si>
    <t>Longboard</t>
  </si>
  <si>
    <t>Long Island Longboard</t>
  </si>
  <si>
    <t>ebay.de</t>
  </si>
  <si>
    <t>MB-111 POINTER</t>
  </si>
  <si>
    <t>Link</t>
  </si>
  <si>
    <t>neu / discount / Order#: 101632796</t>
  </si>
  <si>
    <t>Stückzahl</t>
  </si>
  <si>
    <t>9192000373-0</t>
  </si>
  <si>
    <t>hobbyking.com</t>
  </si>
  <si>
    <t>Turnigy Sensored Brushless Motor (14P)</t>
  </si>
  <si>
    <t>SK8 5045-240KV</t>
  </si>
  <si>
    <t xml:space="preserve">HM-10 </t>
  </si>
  <si>
    <t>Bluetooth 4.0 Board BLE Low Energy Modul CC2541 / CC2540</t>
  </si>
  <si>
    <t>neu</t>
  </si>
  <si>
    <t>gebraucht</t>
  </si>
  <si>
    <t>HGLRC Flipsky Electronic Speed Controller</t>
  </si>
  <si>
    <t>ESC 50A V4.12</t>
  </si>
  <si>
    <t>neu / deal 90 GBP</t>
  </si>
  <si>
    <t>Skateboard T-TOOL</t>
  </si>
  <si>
    <t>162726808862</t>
  </si>
  <si>
    <t>Arduino UNO Kit</t>
  </si>
  <si>
    <t>UA002-DE</t>
  </si>
  <si>
    <t>amazon.de</t>
  </si>
  <si>
    <t>NRF24L01 2.4GHz Antenna SPI Interface Wireless Transceiver Empfänger Funk Modul for Arduino</t>
  </si>
  <si>
    <t>NRF24L01+</t>
  </si>
  <si>
    <t>eckstein-shop.de</t>
  </si>
  <si>
    <t>Hglrc Anti Spark Switch Pro 280A</t>
  </si>
  <si>
    <t>Antrieb Satz Teile Riemenscheibe Und Motorhalterung Für 80 MM Räder Elektrische Skate Board</t>
  </si>
  <si>
    <t>banggood.com</t>
  </si>
  <si>
    <t>Orangatang Longboard Kegel</t>
  </si>
  <si>
    <t xml:space="preserve"> 80mm 83a Rollen</t>
  </si>
  <si>
    <t>treatstock.com</t>
  </si>
  <si>
    <t>D3D Printing Service</t>
  </si>
  <si>
    <t>3D Printed components</t>
  </si>
  <si>
    <t>10Pcs Limit Switch Push Button Switch</t>
  </si>
  <si>
    <t>aliexpress.com</t>
  </si>
  <si>
    <t xml:space="preserve">1pcs 0.91 inch OLED module 0.91" white/blue OLED </t>
  </si>
  <si>
    <t>5 Pcs 50V 0.5A 3 Pin 2 Position On/OFF 1P2T SPDT Slide Switch 3 Pin</t>
  </si>
  <si>
    <t xml:space="preserve">TP4056 1A </t>
  </si>
  <si>
    <t xml:space="preserve">Lipo Battery Charging Board Charger Module lithium battery </t>
  </si>
  <si>
    <t xml:space="preserve">5x5mm Neodymium Strong disc Magnets 5x5 N35 </t>
  </si>
  <si>
    <t>5x5 mm</t>
  </si>
  <si>
    <t>10 Pcs DIY Micro USB 5 Pin</t>
  </si>
  <si>
    <t>REMOTE</t>
  </si>
  <si>
    <t>DC-DC Boost Power Supply Module Converter Booster </t>
  </si>
  <si>
    <t>3V to 5V</t>
  </si>
  <si>
    <t>Nano V3 ATmega328/CH340G</t>
  </si>
  <si>
    <t>3,3V Voltage Regulator</t>
  </si>
  <si>
    <t>5pcs/lot SS495A1 95A Hall Sensor</t>
  </si>
  <si>
    <t>SS495A</t>
  </si>
  <si>
    <t>502535</t>
  </si>
  <si>
    <t xml:space="preserve">LiPo 3,7V 450mAh </t>
  </si>
  <si>
    <t>Stainless Steel Expansion Spring</t>
  </si>
  <si>
    <t>20 mm</t>
  </si>
  <si>
    <t>Remote Case V2</t>
  </si>
  <si>
    <t>FabLab</t>
  </si>
  <si>
    <t>-</t>
  </si>
  <si>
    <t>10S 60A</t>
  </si>
  <si>
    <t>Daly Battery pack BMS</t>
  </si>
  <si>
    <t>14 AWG Wire</t>
  </si>
  <si>
    <t>1+1m Black+Red</t>
  </si>
  <si>
    <t>XLR 3 Pin Waterproof Female Port</t>
  </si>
  <si>
    <t>Electric bike lithium battery charger</t>
  </si>
  <si>
    <t>42V 2A - XLR male port</t>
  </si>
  <si>
    <t>Diameter 1mm</t>
  </si>
  <si>
    <t>Tin Soldering Lead Wire</t>
  </si>
  <si>
    <t>Heatshrink</t>
  </si>
  <si>
    <t>164 Pcs</t>
  </si>
  <si>
    <t>10 AWG Wire</t>
  </si>
  <si>
    <t>XT60 Connector Pairs</t>
  </si>
  <si>
    <t>5 Pieces</t>
  </si>
  <si>
    <t>Double Sided Acrylic Tape</t>
  </si>
  <si>
    <t>20mm x 5m</t>
  </si>
  <si>
    <t>Plexiglas</t>
  </si>
  <si>
    <t>100x100mm</t>
  </si>
  <si>
    <t>Mini LED Strip</t>
  </si>
  <si>
    <t>4xWS2812B</t>
  </si>
  <si>
    <t>Alu Blech</t>
  </si>
  <si>
    <t>200x100mm</t>
  </si>
  <si>
    <t>3D Printed components (vol.3)</t>
  </si>
  <si>
    <t>LED PCB for battery indicator</t>
  </si>
  <si>
    <t>0,91 inch OLED module + PCB</t>
  </si>
  <si>
    <t>Banana Stecker Bullet Stecker Ersatz 10 Pairs</t>
  </si>
  <si>
    <t>Akkupack 10S2P</t>
  </si>
  <si>
    <t>Samusung INR18650-25R</t>
  </si>
  <si>
    <t>6x XT90</t>
  </si>
  <si>
    <t>Remote Case V3</t>
  </si>
  <si>
    <t>40A Sicherung</t>
  </si>
  <si>
    <t>x2</t>
  </si>
  <si>
    <t>Kondensatoren (Receiver)</t>
  </si>
  <si>
    <t>22pF x5 + 220uF x3</t>
  </si>
  <si>
    <t>Laden Aachen</t>
  </si>
  <si>
    <t>x3</t>
  </si>
  <si>
    <t>28 AWG Kabel</t>
  </si>
  <si>
    <t>4.0 mm / 5 pairs</t>
  </si>
  <si>
    <t>4.0 mm / 4 pairs</t>
  </si>
  <si>
    <t>JST Connectors</t>
  </si>
  <si>
    <t>4 pin, 6 pin, 7 pin</t>
  </si>
  <si>
    <t>tme.eu</t>
  </si>
  <si>
    <t>DIODE:
SMAJ5.0CA-LF
PMEG6020ER.115</t>
  </si>
  <si>
    <t>x5
x5</t>
  </si>
  <si>
    <t>SMAJ48CA-LF
PMEG6020ER.115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</si>
</sst>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7" formatCode="#,##0.00\ &quot;€&quot;;\-#,##0.00\ &quot;€&quot;"/>
    <numFmt numFmtId="8" formatCode="#,##0.00\ &quot;€&quot;;[Red]\-#,##0.00\ &quot;€&quot;"/>
    <numFmt numFmtId="164" formatCode="&quot;$&quot;#,##0.00_);\(&quot;$&quot;#,##0.00\)"/>
    <numFmt numFmtId="165" formatCode="_(&quot;$&quot;* #,##0_);_(&quot;$&quot;* \(#,##0\);_(&quot;$&quot;* &quot;-&quot;_);_(@_)"/>
    <numFmt numFmtId="166" formatCode="_(* #,##0_);_(* \(#,##0\);_(* &quot;-&quot;_);_(@_)"/>
    <numFmt numFmtId="167" formatCode="_(* #,##0.00_);_(* \(#,##0.00\);_(* &quot;-&quot;??_);_(@_)"/>
    <numFmt numFmtId="168" formatCode="[&lt;=9999999]###\-####;\(###\)\ ###\-####"/>
    <numFmt numFmtId="169" formatCode="m/d/yy;@"/>
    <numFmt numFmtId="170" formatCode="#,##0.00\ &quot;€&quot;"/>
    <numFmt numFmtId="171" formatCode="[$-407]d/\ mmmm\ yyyy;@"/>
  </numFmts>
  <fonts count="12" x14ac:knownFonts="1">
    <font>
      <sz val="11"/>
      <name val="Arial"/>
      <family val="2"/>
      <scheme val="minor"/>
    </font>
    <font>
      <sz val="8"/>
      <name val="Arial"/>
      <family val="2"/>
    </font>
    <font>
      <b/>
      <sz val="20"/>
      <color theme="1" tint="0.14999847407452621"/>
      <name val="Arial"/>
      <family val="2"/>
      <scheme val="major"/>
    </font>
    <font>
      <sz val="11"/>
      <name val="Arial"/>
      <family val="2"/>
      <scheme val="minor"/>
    </font>
    <font>
      <b/>
      <sz val="11"/>
      <name val="Arial"/>
      <family val="2"/>
      <scheme val="minor"/>
    </font>
    <font>
      <b/>
      <sz val="11"/>
      <color theme="0"/>
      <name val="Arial"/>
      <family val="2"/>
      <scheme val="major"/>
    </font>
    <font>
      <b/>
      <sz val="11"/>
      <color theme="0"/>
      <name val="Arial"/>
      <family val="2"/>
      <scheme val="minor"/>
    </font>
    <font>
      <sz val="11"/>
      <color theme="0"/>
      <name val="Arial"/>
      <family val="2"/>
      <scheme val="minor"/>
    </font>
    <font>
      <b/>
      <sz val="20"/>
      <color theme="1" tint="0.14996795556505021"/>
      <name val="Arial"/>
      <family val="2"/>
      <scheme val="major"/>
    </font>
    <font>
      <u/>
      <sz val="11"/>
      <color theme="10"/>
      <name val="Arial"/>
      <family val="2"/>
      <scheme val="minor"/>
    </font>
    <font>
      <sz val="11"/>
      <name val="Arial"/>
      <scheme val="minor"/>
    </font>
    <font>
      <sz val="11"/>
      <color rgb="FF000000"/>
      <name val="Arial"/>
      <family val="2"/>
      <charset val="204"/>
      <scheme val="minor"/>
    </font>
  </fonts>
  <fills count="3">
    <fill>
      <patternFill patternType="none"/>
    </fill>
    <fill>
      <patternFill patternType="gray125"/>
    </fill>
    <fill>
      <patternFill patternType="solid">
        <fgColor theme="6" tint="-0.499984740745262"/>
        <bgColor indexed="64"/>
      </patternFill>
    </fill>
  </fills>
  <borders count="5">
    <border>
      <left/>
      <right/>
      <top/>
      <bottom/>
      <diagonal/>
    </border>
    <border>
      <left/>
      <right/>
      <top style="thin">
        <color indexed="23"/>
      </top>
      <bottom/>
      <diagonal/>
    </border>
    <border>
      <left style="thin">
        <color theme="6" tint="-0.24994659260841701"/>
      </left>
      <right style="thin">
        <color theme="6" tint="-0.24994659260841701"/>
      </right>
      <top style="thin">
        <color theme="6" tint="-0.24994659260841701"/>
      </top>
      <bottom style="thin">
        <color theme="6" tint="-0.24994659260841701"/>
      </bottom>
      <diagonal/>
    </border>
    <border>
      <left style="thin">
        <color theme="6" tint="-0.24994659260841701"/>
      </left>
      <right/>
      <top/>
      <bottom/>
      <diagonal/>
    </border>
    <border>
      <left/>
      <right/>
      <top style="thin">
        <color indexed="23"/>
      </top>
      <bottom style="thin">
        <color theme="6" tint="-0.24994659260841701"/>
      </bottom>
      <diagonal/>
    </border>
  </borders>
  <cellStyleXfs count="10">
    <xf numFmtId="0" fontId="0" fillId="0" borderId="0"/>
    <xf numFmtId="167" fontId="3" fillId="0" borderId="0" applyFont="0" applyFill="0" applyBorder="0" applyAlignment="0" applyProtection="0"/>
    <xf numFmtId="166" fontId="3" fillId="0" borderId="0" applyFont="0" applyFill="0" applyBorder="0" applyAlignment="0" applyProtection="0"/>
    <xf numFmtId="164" fontId="3" fillId="0" borderId="0" applyFont="0" applyFill="0" applyBorder="0" applyAlignment="0" applyProtection="0"/>
    <xf numFmtId="165" fontId="3" fillId="0" borderId="0" applyFont="0" applyFill="0" applyBorder="0" applyAlignment="0" applyProtection="0"/>
    <xf numFmtId="9" fontId="3" fillId="0" borderId="0" applyFont="0" applyFill="0" applyBorder="0" applyAlignment="0" applyProtection="0"/>
    <xf numFmtId="0" fontId="8" fillId="0" borderId="0" applyNumberFormat="0" applyFill="0" applyBorder="0" applyProtection="0">
      <alignment horizontal="left" vertical="center"/>
    </xf>
    <xf numFmtId="168" fontId="3" fillId="0" borderId="2" applyFont="0" applyFill="0">
      <alignment horizontal="right" wrapText="1"/>
    </xf>
    <xf numFmtId="169" fontId="3" fillId="0" borderId="0" applyFont="0" applyFill="0" applyBorder="0" applyAlignment="0">
      <alignment wrapText="1"/>
    </xf>
    <xf numFmtId="0" fontId="9" fillId="0" borderId="0" applyNumberFormat="0" applyFill="0" applyBorder="0" applyAlignment="0" applyProtection="0"/>
  </cellStyleXfs>
  <cellXfs count="28">
    <xf numFmtId="0" fontId="0" fillId="0" borderId="0" xfId="0"/>
    <xf numFmtId="0" fontId="0" fillId="0" borderId="2" xfId="0" applyFont="1" applyFill="1" applyBorder="1" applyAlignment="1">
      <alignment horizontal="right" wrapText="1"/>
    </xf>
    <xf numFmtId="0" fontId="4" fillId="0" borderId="2" xfId="0" applyFont="1" applyFill="1" applyBorder="1" applyAlignment="1">
      <alignment horizontal="left" vertical="center" wrapText="1"/>
    </xf>
    <xf numFmtId="0" fontId="5" fillId="2" borderId="0" xfId="0" applyFont="1" applyFill="1" applyBorder="1" applyAlignment="1">
      <alignment horizontal="center" vertical="center" wrapText="1"/>
    </xf>
    <xf numFmtId="0" fontId="0" fillId="0" borderId="0" xfId="0" applyFont="1" applyFill="1" applyBorder="1" applyAlignment="1">
      <alignment wrapText="1"/>
    </xf>
    <xf numFmtId="0" fontId="2" fillId="0" borderId="1" xfId="0" applyFont="1" applyFill="1" applyBorder="1" applyAlignment="1">
      <alignment horizontal="left" vertical="center"/>
    </xf>
    <xf numFmtId="0" fontId="2" fillId="0" borderId="1" xfId="0" applyFont="1" applyFill="1" applyBorder="1" applyAlignment="1">
      <alignment vertical="center"/>
    </xf>
    <xf numFmtId="0" fontId="7" fillId="0" borderId="3" xfId="0" applyFont="1" applyBorder="1"/>
    <xf numFmtId="7" fontId="0" fillId="0" borderId="0" xfId="3" applyNumberFormat="1" applyFont="1" applyFill="1" applyBorder="1" applyAlignment="1">
      <alignment wrapText="1"/>
    </xf>
    <xf numFmtId="0" fontId="9" fillId="0" borderId="0" xfId="9" applyFill="1" applyBorder="1" applyAlignment="1">
      <alignment wrapText="1"/>
    </xf>
    <xf numFmtId="171" fontId="0" fillId="0" borderId="0" xfId="8" applyNumberFormat="1" applyFont="1" applyFill="1" applyBorder="1" applyAlignment="1">
      <alignment wrapText="1"/>
    </xf>
    <xf numFmtId="170" fontId="0" fillId="0" borderId="0" xfId="3" applyNumberFormat="1" applyFont="1" applyFill="1" applyBorder="1" applyAlignment="1">
      <alignment wrapText="1"/>
    </xf>
    <xf numFmtId="8" fontId="0" fillId="0" borderId="2" xfId="3" applyNumberFormat="1" applyFont="1" applyFill="1" applyBorder="1" applyAlignment="1">
      <alignment wrapText="1"/>
    </xf>
    <xf numFmtId="3" fontId="0" fillId="0" borderId="0" xfId="3" applyNumberFormat="1" applyFont="1" applyFill="1" applyBorder="1" applyAlignment="1">
      <alignment wrapText="1"/>
    </xf>
    <xf numFmtId="0" fontId="10" fillId="0" borderId="0" xfId="0" applyFont="1" applyFill="1" applyAlignment="1">
      <alignment wrapText="1"/>
    </xf>
    <xf numFmtId="171" fontId="10" fillId="0" borderId="0" xfId="0" applyNumberFormat="1" applyFont="1" applyFill="1" applyAlignment="1">
      <alignment wrapText="1"/>
    </xf>
    <xf numFmtId="170" fontId="10" fillId="0" borderId="0" xfId="0" applyNumberFormat="1" applyFont="1" applyFill="1" applyAlignment="1">
      <alignment wrapText="1"/>
    </xf>
    <xf numFmtId="3" fontId="0" fillId="0" borderId="0" xfId="3" applyNumberFormat="1" applyFont="1" applyFill="1" applyAlignment="1">
      <alignment wrapText="1"/>
    </xf>
    <xf numFmtId="7" fontId="10" fillId="0" borderId="0" xfId="0" applyNumberFormat="1" applyFont="1" applyFill="1" applyAlignment="1">
      <alignment wrapText="1"/>
    </xf>
    <xf numFmtId="7" fontId="0" fillId="0" borderId="0" xfId="3" applyNumberFormat="1" applyFont="1" applyFill="1" applyAlignment="1">
      <alignment wrapText="1"/>
    </xf>
    <xf numFmtId="0" fontId="0" fillId="0" borderId="0" xfId="0" applyFont="1" applyFill="1" applyAlignment="1">
      <alignment wrapText="1"/>
    </xf>
    <xf numFmtId="49" fontId="0" fillId="0" borderId="0" xfId="0" applyNumberFormat="1"/>
    <xf numFmtId="0" fontId="9" fillId="0" borderId="0" xfId="9" applyFill="1" applyAlignment="1">
      <alignment wrapText="1"/>
    </xf>
    <xf numFmtId="0" fontId="11" fillId="0" borderId="0" xfId="0" applyFont="1"/>
    <xf numFmtId="0" fontId="0" fillId="0" borderId="0" xfId="0" quotePrefix="1" applyFont="1" applyFill="1" applyAlignment="1">
      <alignment wrapText="1"/>
    </xf>
    <xf numFmtId="171" fontId="0" fillId="0" borderId="0" xfId="0" applyNumberFormat="1" applyFont="1" applyFill="1" applyAlignment="1">
      <alignment wrapText="1"/>
    </xf>
    <xf numFmtId="0" fontId="8" fillId="0" borderId="4" xfId="6" applyFill="1" applyBorder="1">
      <alignment horizontal="left" vertical="center"/>
    </xf>
    <xf numFmtId="49" fontId="0" fillId="0" borderId="0" xfId="0" applyNumberFormat="1" applyAlignment="1">
      <alignment wrapText="1"/>
    </xf>
  </cellXfs>
  <cellStyles count="10">
    <cellStyle name="Datum" xfId="8" xr:uid="{00000000-0005-0000-0000-000004000000}"/>
    <cellStyle name="Dezimal [0]" xfId="2" builtinId="6" customBuiltin="1"/>
    <cellStyle name="Komma" xfId="1" builtinId="3" customBuiltin="1"/>
    <cellStyle name="Link" xfId="9" builtinId="8"/>
    <cellStyle name="Prozent" xfId="5" builtinId="5" customBuiltin="1"/>
    <cellStyle name="Standard" xfId="0" builtinId="0" customBuiltin="1"/>
    <cellStyle name="Telefon" xfId="7" xr:uid="{00000000-0005-0000-0000-000007000000}"/>
    <cellStyle name="Überschrift" xfId="6" builtinId="15" customBuiltin="1"/>
    <cellStyle name="Währung" xfId="3" builtinId="4" customBuiltin="1"/>
    <cellStyle name="Währung [0]" xfId="4" builtinId="7" customBuiltin="1"/>
  </cellStyles>
  <dxfs count="13">
    <dxf>
      <font>
        <b val="0"/>
        <i val="0"/>
        <strike val="0"/>
        <condense val="0"/>
        <extend val="0"/>
        <outline val="0"/>
        <shadow val="0"/>
        <u val="none"/>
        <vertAlign val="baseline"/>
        <sz val="11"/>
        <color auto="1"/>
        <name val="Arial"/>
        <scheme val="minor"/>
      </font>
      <fill>
        <patternFill patternType="none">
          <fgColor indexed="64"/>
          <bgColor indexed="65"/>
        </patternFill>
      </fill>
      <alignment horizontal="general" vertical="bottom" textRotation="0" wrapText="1" relativeIndent="0" justifyLastLine="0" shrinkToFit="0" readingOrder="0"/>
    </dxf>
    <dxf>
      <font>
        <b val="0"/>
        <i val="0"/>
        <strike val="0"/>
        <condense val="0"/>
        <extend val="0"/>
        <outline val="0"/>
        <shadow val="0"/>
        <u val="none"/>
        <vertAlign val="baseline"/>
        <sz val="11"/>
        <color auto="1"/>
        <name val="Arial"/>
        <scheme val="minor"/>
      </font>
      <fill>
        <patternFill patternType="none">
          <fgColor indexed="64"/>
          <bgColor indexed="65"/>
        </patternFill>
      </fill>
      <alignment horizontal="general" vertical="bottom" textRotation="0" wrapText="1" relativeIndent="0" justifyLastLine="0" shrinkToFit="0" readingOrder="0"/>
    </dxf>
    <dxf>
      <font>
        <b val="0"/>
        <i val="0"/>
        <strike val="0"/>
        <condense val="0"/>
        <extend val="0"/>
        <outline val="0"/>
        <shadow val="0"/>
        <u val="none"/>
        <vertAlign val="baseline"/>
        <sz val="11"/>
        <color auto="1"/>
        <name val="Arial"/>
        <family val="2"/>
        <scheme val="minor"/>
      </font>
      <numFmt numFmtId="11" formatCode="#,##0.00\ &quot;€&quot;;\-#,##0.00\ &quot;€&quo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Arial"/>
        <scheme val="minor"/>
      </font>
      <numFmt numFmtId="11" formatCode="#,##0.00\ &quot;€&quot;;\-#,##0.00\ &quot;€&quot;"/>
      <fill>
        <patternFill patternType="none">
          <fgColor indexed="64"/>
          <bgColor indexed="65"/>
        </patternFill>
      </fill>
      <alignment horizontal="general" vertical="bottom" textRotation="0" wrapText="1" relativeIndent="0" justifyLastLine="0" shrinkToFit="0" readingOrder="0"/>
    </dxf>
    <dxf>
      <font>
        <b val="0"/>
        <i val="0"/>
        <strike val="0"/>
        <condense val="0"/>
        <extend val="0"/>
        <outline val="0"/>
        <shadow val="0"/>
        <u val="none"/>
        <vertAlign val="baseline"/>
        <sz val="11"/>
        <color auto="1"/>
        <name val="Arial"/>
        <family val="2"/>
        <scheme val="minor"/>
      </font>
      <numFmt numFmtId="3"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Arial"/>
        <scheme val="minor"/>
      </font>
      <numFmt numFmtId="170" formatCode="#,##0.00\ &quot;€&quot;"/>
      <fill>
        <patternFill patternType="none">
          <fgColor indexed="64"/>
          <bgColor indexed="65"/>
        </patternFill>
      </fill>
      <alignment horizontal="general" vertical="bottom" textRotation="0" wrapText="1" relativeIndent="0" justifyLastLine="0" shrinkToFit="0" readingOrder="0"/>
    </dxf>
    <dxf>
      <font>
        <b val="0"/>
        <i val="0"/>
        <strike val="0"/>
        <condense val="0"/>
        <extend val="0"/>
        <outline val="0"/>
        <shadow val="0"/>
        <u val="none"/>
        <vertAlign val="baseline"/>
        <sz val="11"/>
        <color auto="1"/>
        <name val="Arial"/>
        <scheme val="minor"/>
      </font>
      <fill>
        <patternFill patternType="none">
          <fgColor indexed="64"/>
          <bgColor indexed="65"/>
        </patternFill>
      </fill>
      <alignment horizontal="general" vertical="bottom" textRotation="0" wrapText="1" relativeIndent="0" justifyLastLine="0" shrinkToFit="0" readingOrder="0"/>
    </dxf>
    <dxf>
      <font>
        <b val="0"/>
        <i val="0"/>
        <strike val="0"/>
        <condense val="0"/>
        <extend val="0"/>
        <outline val="0"/>
        <shadow val="0"/>
        <u val="none"/>
        <vertAlign val="baseline"/>
        <sz val="11"/>
        <color auto="1"/>
        <name val="Arial"/>
        <scheme val="minor"/>
      </font>
      <numFmt numFmtId="171" formatCode="[$-407]d/\ mmmm\ yyyy;@"/>
      <fill>
        <patternFill patternType="none">
          <fgColor indexed="64"/>
          <bgColor indexed="65"/>
        </patternFill>
      </fill>
      <alignment horizontal="general" vertical="bottom" textRotation="0" wrapText="1" relativeIndent="0" justifyLastLine="0" shrinkToFit="0" readingOrder="0"/>
    </dxf>
    <dxf>
      <numFmt numFmtId="30" formatCode="@"/>
    </dxf>
    <dxf>
      <font>
        <b val="0"/>
        <i val="0"/>
        <strike val="0"/>
        <condense val="0"/>
        <extend val="0"/>
        <outline val="0"/>
        <shadow val="0"/>
        <u val="none"/>
        <vertAlign val="baseline"/>
        <sz val="11"/>
        <color auto="1"/>
        <name val="Arial"/>
        <scheme val="minor"/>
      </font>
      <fill>
        <patternFill patternType="none">
          <fgColor indexed="64"/>
          <bgColor indexed="65"/>
        </patternFill>
      </fill>
      <alignment horizontal="general" vertical="bottom" textRotation="0" wrapText="1" relativeIndent="0" justifyLastLine="0" shrinkToFit="0" readingOrder="0"/>
    </dxf>
    <dxf>
      <font>
        <b val="0"/>
        <i val="0"/>
        <strike val="0"/>
        <condense val="0"/>
        <extend val="0"/>
        <outline val="0"/>
        <shadow val="0"/>
        <u val="none"/>
        <vertAlign val="baseline"/>
        <sz val="11"/>
        <color auto="1"/>
        <name val="Arial"/>
        <scheme val="minor"/>
      </font>
      <fill>
        <patternFill patternType="none">
          <fgColor indexed="64"/>
          <bgColor indexed="65"/>
        </patternFill>
      </fill>
      <alignment horizontal="general" vertical="bottom" textRotation="0" wrapText="1" indent="0" justifyLastLine="0" shrinkToFit="0" readingOrder="0"/>
    </dxf>
    <dxf>
      <font>
        <strike val="0"/>
        <outline val="0"/>
        <shadow val="0"/>
        <u val="none"/>
        <vertAlign val="baseline"/>
        <sz val="11"/>
        <name val="Arial"/>
      </font>
    </dxf>
    <dxf>
      <font>
        <b/>
        <i val="0"/>
        <strike val="0"/>
        <condense val="0"/>
        <extend val="0"/>
        <outline val="0"/>
        <shadow val="0"/>
        <u val="none"/>
        <vertAlign val="baseline"/>
        <sz val="11"/>
        <color theme="0"/>
        <name val="Arial"/>
        <scheme val="major"/>
      </font>
      <fill>
        <patternFill patternType="solid">
          <fgColor indexed="64"/>
          <bgColor theme="6" tint="-0.499984740745262"/>
        </patternFill>
      </fill>
      <alignment horizontal="center" vertical="center" textRotation="0" wrapText="1" relativeIndent="0" justifyLastLine="0" shrinkToFit="0" readingOrder="0"/>
      <border diagonalUp="0" diagonalDown="0" outline="0">
        <left style="thin">
          <color indexed="55"/>
        </left>
        <right style="thin">
          <color indexed="55"/>
        </right>
        <top/>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006666"/>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F0EAB0"/>
      <rgbColor rgb="00EAEAEA"/>
      <rgbColor rgb="0099CCFF"/>
      <rgbColor rgb="00F2F8EA"/>
      <rgbColor rgb="00CC99FF"/>
      <rgbColor rgb="00BDDAB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iste" displayName="Liste" ref="B5:L57" totalsRowShown="0" headerRowDxfId="12" dataDxfId="11">
  <autoFilter ref="B5:L57" xr:uid="{00000000-0009-0000-0100-000001000000}"/>
  <tableColumns count="11">
    <tableColumn id="2" xr3:uid="{00000000-0010-0000-0000-000002000000}" name="Artikel/Beschreibung" dataDxfId="10"/>
    <tableColumn id="3" xr3:uid="{00000000-0010-0000-0000-000003000000}" name="Fabrikat/Modell" dataDxfId="9"/>
    <tableColumn id="4" xr3:uid="{00000000-0010-0000-0000-000004000000}" name="Seriennummer/_x000a_ID-Nummer" dataDxfId="8"/>
    <tableColumn id="5" xr3:uid="{00000000-0010-0000-0000-000005000000}" name="Kaufdatum" dataDxfId="7"/>
    <tableColumn id="6" xr3:uid="{00000000-0010-0000-0000-000006000000}" name="Einkaufsquelle" dataDxfId="6"/>
    <tableColumn id="7" xr3:uid="{00000000-0010-0000-0000-000007000000}" name="Kaufpreis" dataDxfId="5"/>
    <tableColumn id="11" xr3:uid="{0E9AE672-8694-40BB-B882-41CE6433F563}" name="Stückzahl" dataDxfId="4" dataCellStyle="Währung"/>
    <tableColumn id="8" xr3:uid="{00000000-0010-0000-0000-000008000000}" name="Lieferungs-_x000a_kosten" dataDxfId="3"/>
    <tableColumn id="1" xr3:uid="{659C3C04-B209-491A-8434-D29D6329F23C}" name="Gesamtkosten" dataDxfId="2" dataCellStyle="Währung">
      <calculatedColumnFormula>Liste[[#This Row],[Lieferungs-
kosten]]+Liste[[#This Row],[Kaufpreis]]*Liste[[#This Row],[Stückzahl]]</calculatedColumnFormula>
    </tableColumn>
    <tableColumn id="9" xr3:uid="{00000000-0010-0000-0000-000009000000}" name="Anmerkungen" dataDxfId="1"/>
    <tableColumn id="10" xr3:uid="{00000000-0010-0000-0000-00000A000000}" name="Foto?" dataDxfId="0"/>
  </tableColumns>
  <tableStyleInfo name="TableStyleLight18" showFirstColumn="0" showLastColumn="0" showRowStripes="1" showColumnStripes="0"/>
  <extLst>
    <ext xmlns:x14="http://schemas.microsoft.com/office/spreadsheetml/2009/9/main" uri="{504A1905-F514-4f6f-8877-14C23A59335A}">
      <x14:table altTextSummary="Geben Sie den Raum, den Artikel, die Einkaufsquelle, den Einkaufspreis, den geschätzten aktuellen Wert, den Fotostatus und Anmerkungen in dieser Tabelle ein."/>
    </ext>
  </extLst>
</table>
</file>

<file path=xl/theme/_rels/theme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theme/theme1.xml><?xml version="1.0" encoding="utf-8"?>
<a:theme xmlns:a="http://schemas.openxmlformats.org/drawingml/2006/main" name="Civic">
  <a:themeElements>
    <a:clrScheme name="Civic">
      <a:dk1>
        <a:sysClr val="windowText" lastClr="000000"/>
      </a:dk1>
      <a:lt1>
        <a:sysClr val="window" lastClr="FFFFFF"/>
      </a:lt1>
      <a:dk2>
        <a:srgbClr val="646B86"/>
      </a:dk2>
      <a:lt2>
        <a:srgbClr val="C5D1D7"/>
      </a:lt2>
      <a:accent1>
        <a:srgbClr val="D16349"/>
      </a:accent1>
      <a:accent2>
        <a:srgbClr val="CCB400"/>
      </a:accent2>
      <a:accent3>
        <a:srgbClr val="8CADAE"/>
      </a:accent3>
      <a:accent4>
        <a:srgbClr val="8C7B70"/>
      </a:accent4>
      <a:accent5>
        <a:srgbClr val="8FB08C"/>
      </a:accent5>
      <a:accent6>
        <a:srgbClr val="D19049"/>
      </a:accent6>
      <a:hlink>
        <a:srgbClr val="00A3D6"/>
      </a:hlink>
      <a:folHlink>
        <a:srgbClr val="694F07"/>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Civic">
      <a:fillStyleLst>
        <a:solidFill>
          <a:schemeClr val="phClr"/>
        </a:solidFill>
        <a:solidFill>
          <a:schemeClr val="phClr">
            <a:tint val="45000"/>
          </a:schemeClr>
        </a:solidFill>
        <a:solidFill>
          <a:schemeClr val="phClr">
            <a:tint val="95000"/>
          </a:schemeClr>
        </a:solidFill>
      </a:fillStyleLst>
      <a:lnStyleLst>
        <a:ln w="9525" cap="flat" cmpd="sng" algn="ctr">
          <a:solidFill>
            <a:schemeClr val="phClr"/>
          </a:solidFill>
          <a:prstDash val="solid"/>
        </a:ln>
        <a:ln w="11429" cap="flat" cmpd="sng" algn="ctr">
          <a:solidFill>
            <a:schemeClr val="phClr"/>
          </a:solidFill>
          <a:prstDash val="sysDash"/>
        </a:ln>
        <a:ln w="20000" cap="flat" cmpd="sng" algn="ctr">
          <a:solidFill>
            <a:schemeClr val="phClr"/>
          </a:solidFill>
          <a:prstDash val="solid"/>
        </a:ln>
      </a:lnStyleLst>
      <a:effectStyleLst>
        <a:effectStyle>
          <a:effectLst>
            <a:outerShdw blurRad="50800" dist="25400" dir="5400000" rotWithShape="0">
              <a:srgbClr val="000000">
                <a:alpha val="35000"/>
              </a:srgbClr>
            </a:outerShdw>
          </a:effectLst>
        </a:effectStyle>
        <a:effectStyle>
          <a:effectLst>
            <a:outerShdw blurRad="50800" dist="25400" dir="5400000" rotWithShape="0">
              <a:srgbClr val="000000">
                <a:alpha val="45000"/>
              </a:srgbClr>
            </a:outerShdw>
          </a:effectLst>
          <a:scene3d>
            <a:camera prst="orthographicFront" fov="0">
              <a:rot lat="0" lon="0" rev="0"/>
            </a:camera>
            <a:lightRig rig="threePt" dir="t">
              <a:rot lat="0" lon="0" rev="0"/>
            </a:lightRig>
          </a:scene3d>
          <a:sp3d contourW="9525" prstMaterial="matte">
            <a:bevelT w="0" h="0"/>
            <a:contourClr>
              <a:schemeClr val="phClr">
                <a:shade val="70000"/>
                <a:satMod val="105000"/>
              </a:schemeClr>
            </a:contourClr>
          </a:sp3d>
        </a:effectStyle>
        <a:effectStyle>
          <a:effectLst>
            <a:outerShdw blurRad="50800" dist="25400" dir="5400000" rotWithShape="0">
              <a:srgbClr val="000000">
                <a:alpha val="45000"/>
              </a:srgbClr>
            </a:outerShdw>
          </a:effectLst>
          <a:scene3d>
            <a:camera prst="orthographicFront" fov="0">
              <a:rot lat="0" lon="0" rev="0"/>
            </a:camera>
            <a:lightRig rig="soft" dir="b">
              <a:rot lat="0" lon="0" rev="0"/>
            </a:lightRig>
          </a:scene3d>
          <a:sp3d prstMaterial="dkEdge">
            <a:bevelT w="63500" h="63500" prst="cross"/>
            <a:contourClr>
              <a:schemeClr val="phClr"/>
            </a:contourClr>
          </a:sp3d>
        </a:effectStyle>
      </a:effectStyleLst>
      <a:bgFillStyleLst>
        <a:solidFill>
          <a:schemeClr val="phClr"/>
        </a:solidFill>
        <a:blipFill>
          <a:blip xmlns:r="http://schemas.openxmlformats.org/officeDocument/2006/relationships" r:embed="rId1">
            <a:duotone>
              <a:schemeClr val="phClr">
                <a:shade val="70000"/>
                <a:satMod val="115000"/>
              </a:schemeClr>
              <a:schemeClr val="phClr">
                <a:tint val="85000"/>
              </a:schemeClr>
            </a:duotone>
          </a:blip>
          <a:tile tx="0" ty="0" sx="85000" sy="85000" flip="none" algn="tl"/>
        </a:blipFill>
        <a:blipFill>
          <a:blip xmlns:r="http://schemas.openxmlformats.org/officeDocument/2006/relationships" r:embed="rId2">
            <a:duotone>
              <a:schemeClr val="phClr">
                <a:shade val="65000"/>
                <a:satMod val="115000"/>
              </a:schemeClr>
              <a:schemeClr val="phClr">
                <a:tint val="85000"/>
              </a:schemeClr>
            </a:duotone>
          </a:blip>
          <a:tile tx="0" ty="0" sx="65000" sy="65000" flip="none" algn="tl"/>
        </a:blip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Kostenabrechunug%20Bilder/Flipsky%20Electronic%20Speed%20Controller" TargetMode="External"/><Relationship Id="rId13" Type="http://schemas.openxmlformats.org/officeDocument/2006/relationships/hyperlink" Target="https://www.ebay.de/itm/Hglrc-Anti-Spark-Switch-Pro-280A-for-Electric-Skateboard-Scooter-Robots-hw/283362813635?ssPageName=STRK%3AMEBIDX%3AIT&amp;_trksid=p2057872.m2749.l2649" TargetMode="External"/><Relationship Id="rId18" Type="http://schemas.openxmlformats.org/officeDocument/2006/relationships/table" Target="../tables/table1.xml"/><Relationship Id="rId3" Type="http://schemas.openxmlformats.org/officeDocument/2006/relationships/hyperlink" Target="https://hobbyking.com/en_us/turnigy-sk8-5045-240kv-sensored-brushless-motor-14p.html" TargetMode="External"/><Relationship Id="rId7" Type="http://schemas.openxmlformats.org/officeDocument/2006/relationships/hyperlink" Target="Kostenabrechunug%20Bilder/Skateboard%20T-TOOL" TargetMode="External"/><Relationship Id="rId12" Type="http://schemas.openxmlformats.org/officeDocument/2006/relationships/hyperlink" Target="https://www.ebay.de/itm/Skateboard-T-TOOL-Black-Werkzeug-Skate-Tool-Skateboard-Longboard-T-Schl%C3%BCssel/162726808862?ssPageName=STRK%3AMEBIDX%3AIT&amp;_trksid=p2057872.m2749.l2649" TargetMode="External"/><Relationship Id="rId17" Type="http://schemas.openxmlformats.org/officeDocument/2006/relationships/printerSettings" Target="../printerSettings/printerSettings1.bin"/><Relationship Id="rId2" Type="http://schemas.openxmlformats.org/officeDocument/2006/relationships/hyperlink" Target="Kostenabrechunug%20Bilder/Long%20Island%20Longboard" TargetMode="External"/><Relationship Id="rId16" Type="http://schemas.openxmlformats.org/officeDocument/2006/relationships/hyperlink" Target="https://www.treatstock.com/workbench/order/view/45538" TargetMode="External"/><Relationship Id="rId1" Type="http://schemas.openxmlformats.org/officeDocument/2006/relationships/hyperlink" Target="https://www.ebay.de/itm/Long-island-longboard-/173612592583?_trksid=p2047675.l2557&amp;ssPageName=STRK%3AMEBIDX%3AIT&amp;nma=true&amp;si=Ns6DI9zuFayR3jvLYvM%252BPhlEb%252B0%253D&amp;orig_cvip=true&amp;nordt=true&amp;rt=nc" TargetMode="External"/><Relationship Id="rId6" Type="http://schemas.openxmlformats.org/officeDocument/2006/relationships/hyperlink" Target="Kostenabrechunug%20Bilder/Bluetooth%204.0%20Module" TargetMode="External"/><Relationship Id="rId11" Type="http://schemas.openxmlformats.org/officeDocument/2006/relationships/hyperlink" Target="https://www.ebay.de/itm/HGLRC-Flipsky-Electronic-Speed-Controller-ESC-50A-V4-12-Skateboard-E-scooter/202321220389?ssPageName=STRK%3AMEBIDX%3AIT&amp;_trksid=p2057872.m2749.l2649" TargetMode="External"/><Relationship Id="rId5" Type="http://schemas.openxmlformats.org/officeDocument/2006/relationships/hyperlink" Target="Kostenabrechunug%20Bilder/Turnigy%20SK8" TargetMode="External"/><Relationship Id="rId15" Type="http://schemas.openxmlformats.org/officeDocument/2006/relationships/hyperlink" Target="https://www.amazon.de/gp/product/B00EYDHWTQ/ref=ppx_yo_dt_b_asin_title_o00_s00?ie=UTF8&amp;psc=1" TargetMode="External"/><Relationship Id="rId10" Type="http://schemas.openxmlformats.org/officeDocument/2006/relationships/hyperlink" Target="https://www.amazon.de/gp/product/B07CG85D16/ref=oh_aui_detailpage_o02_s01?ie=UTF8&amp;psc=1" TargetMode="External"/><Relationship Id="rId4" Type="http://schemas.openxmlformats.org/officeDocument/2006/relationships/hyperlink" Target="https://www.ebay.de/itm/AT-09-komp-HM-10-Bluetooth-4-0-Board-BLE-Low-Energy-Modul-CC2541-CC2540-Arduino/173393476257?ssPageName=STRK%3AMEBIDX%3AIT&amp;_trksid=p2057872.m2749.l2649" TargetMode="External"/><Relationship Id="rId9" Type="http://schemas.openxmlformats.org/officeDocument/2006/relationships/hyperlink" Target="https://eckstein-shop.de/NRF24L01-24GHz-Antenna-SPI-Interface-Wireless-Transceiver-Empfaenger-Funk-Modul-for-Arduino" TargetMode="External"/><Relationship Id="rId14" Type="http://schemas.openxmlformats.org/officeDocument/2006/relationships/hyperlink" Target="https://de.banggood.com/17pcs-Drive-Kit-Parts-Pulley-And-Motor-Mount-For-80MM-Wheels-Electric-Skate-Board-p-1359469.html?cur_warehouse=C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pageSetUpPr fitToPage="1"/>
  </sheetPr>
  <dimension ref="B1:L57"/>
  <sheetViews>
    <sheetView showGridLines="0" tabSelected="1" topLeftCell="A40" zoomScale="70" zoomScaleNormal="70" workbookViewId="0">
      <selection activeCell="D57" sqref="D57"/>
    </sheetView>
  </sheetViews>
  <sheetFormatPr baseColWidth="10" defaultColWidth="9" defaultRowHeight="30" customHeight="1" x14ac:dyDescent="0.2"/>
  <cols>
    <col min="1" max="1" width="2.625" customWidth="1"/>
    <col min="2" max="2" width="34.5" customWidth="1"/>
    <col min="3" max="3" width="24.5" customWidth="1"/>
    <col min="4" max="4" width="20.375" customWidth="1"/>
    <col min="5" max="5" width="22.75" customWidth="1"/>
    <col min="6" max="6" width="20.625" customWidth="1"/>
    <col min="7" max="7" width="16.75" customWidth="1"/>
    <col min="8" max="8" width="18.875" bestFit="1" customWidth="1"/>
    <col min="9" max="10" width="21.375" bestFit="1" customWidth="1"/>
    <col min="11" max="11" width="42.75" customWidth="1"/>
    <col min="12" max="12" width="18.875" customWidth="1"/>
  </cols>
  <sheetData>
    <row r="1" spans="2:12" ht="60" customHeight="1" x14ac:dyDescent="0.2">
      <c r="B1" s="26" t="str">
        <f>_xlfn.CONCAT("Bestandsliste ", Name)</f>
        <v>Bestandsliste Longboard</v>
      </c>
      <c r="C1" s="26"/>
      <c r="D1" s="5"/>
      <c r="E1" s="5"/>
      <c r="F1" s="5"/>
      <c r="G1" s="5"/>
      <c r="H1" s="5"/>
      <c r="I1" s="5"/>
      <c r="J1" s="5"/>
      <c r="K1" s="6"/>
    </row>
    <row r="2" spans="2:12" ht="30" customHeight="1" x14ac:dyDescent="0.25">
      <c r="B2" s="2" t="s">
        <v>0</v>
      </c>
      <c r="C2" s="1" t="s">
        <v>13</v>
      </c>
      <c r="D2" s="7" t="s">
        <v>3</v>
      </c>
    </row>
    <row r="3" spans="2:12" ht="30" customHeight="1" x14ac:dyDescent="0.2">
      <c r="B3" s="2" t="s">
        <v>1</v>
      </c>
      <c r="C3" s="12">
        <f>SUM(Liste[Gesamtkosten])</f>
        <v>746.41</v>
      </c>
      <c r="D3" s="7"/>
    </row>
    <row r="5" spans="2:12" ht="35.1" customHeight="1" x14ac:dyDescent="0.2">
      <c r="B5" s="3" t="s">
        <v>2</v>
      </c>
      <c r="C5" s="3" t="s">
        <v>4</v>
      </c>
      <c r="D5" s="3" t="s">
        <v>5</v>
      </c>
      <c r="E5" s="3" t="s">
        <v>6</v>
      </c>
      <c r="F5" s="3" t="s">
        <v>7</v>
      </c>
      <c r="G5" s="3" t="s">
        <v>12</v>
      </c>
      <c r="H5" s="3" t="s">
        <v>19</v>
      </c>
      <c r="I5" s="3" t="s">
        <v>10</v>
      </c>
      <c r="J5" s="3" t="s">
        <v>11</v>
      </c>
      <c r="K5" s="3" t="s">
        <v>8</v>
      </c>
      <c r="L5" s="3" t="s">
        <v>9</v>
      </c>
    </row>
    <row r="6" spans="2:12" ht="30" customHeight="1" x14ac:dyDescent="0.2">
      <c r="B6" s="4" t="s">
        <v>14</v>
      </c>
      <c r="C6" s="4" t="s">
        <v>16</v>
      </c>
      <c r="D6" s="21"/>
      <c r="E6" s="10">
        <v>43408</v>
      </c>
      <c r="F6" s="9" t="s">
        <v>15</v>
      </c>
      <c r="G6" s="11">
        <v>80.989999999999995</v>
      </c>
      <c r="H6" s="13">
        <v>1</v>
      </c>
      <c r="I6" s="8">
        <v>8.49</v>
      </c>
      <c r="J6" s="8">
        <f>Liste[[#This Row],[Lieferungs-
kosten]]+Liste[[#This Row],[Kaufpreis]]*Liste[[#This Row],[Stückzahl]]</f>
        <v>89.47999999999999</v>
      </c>
      <c r="K6" s="4" t="s">
        <v>27</v>
      </c>
      <c r="L6" s="9" t="s">
        <v>17</v>
      </c>
    </row>
    <row r="7" spans="2:12" ht="30" customHeight="1" x14ac:dyDescent="0.2">
      <c r="B7" s="4" t="s">
        <v>22</v>
      </c>
      <c r="C7" s="4" t="s">
        <v>23</v>
      </c>
      <c r="D7" s="21" t="s">
        <v>20</v>
      </c>
      <c r="E7" s="10">
        <v>43420</v>
      </c>
      <c r="F7" s="9" t="s">
        <v>21</v>
      </c>
      <c r="G7" s="11">
        <v>35.15</v>
      </c>
      <c r="H7" s="13">
        <v>2</v>
      </c>
      <c r="I7" s="8">
        <f>14.58+21.7</f>
        <v>36.28</v>
      </c>
      <c r="J7" s="8">
        <f>Liste[[#This Row],[Lieferungs-
kosten]]+Liste[[#This Row],[Kaufpreis]]*Liste[[#This Row],[Stückzahl]]</f>
        <v>106.58</v>
      </c>
      <c r="K7" s="4" t="s">
        <v>18</v>
      </c>
      <c r="L7" s="9" t="s">
        <v>17</v>
      </c>
    </row>
    <row r="8" spans="2:12" ht="30" customHeight="1" x14ac:dyDescent="0.2">
      <c r="B8" s="4" t="s">
        <v>25</v>
      </c>
      <c r="C8" s="4" t="s">
        <v>24</v>
      </c>
      <c r="D8" s="21"/>
      <c r="E8" s="10">
        <v>43422</v>
      </c>
      <c r="F8" s="9" t="s">
        <v>15</v>
      </c>
      <c r="G8" s="11">
        <v>4.16</v>
      </c>
      <c r="H8" s="13">
        <v>1</v>
      </c>
      <c r="I8" s="8">
        <v>0</v>
      </c>
      <c r="J8" s="8">
        <f>Liste[[#This Row],[Lieferungs-
kosten]]+Liste[[#This Row],[Kaufpreis]]*Liste[[#This Row],[Stückzahl]]</f>
        <v>4.16</v>
      </c>
      <c r="K8" s="4" t="s">
        <v>26</v>
      </c>
      <c r="L8" s="9" t="s">
        <v>17</v>
      </c>
    </row>
    <row r="9" spans="2:12" ht="30" customHeight="1" x14ac:dyDescent="0.2">
      <c r="B9" s="20" t="s">
        <v>28</v>
      </c>
      <c r="C9" s="20" t="s">
        <v>29</v>
      </c>
      <c r="D9" s="21"/>
      <c r="E9" s="15">
        <v>43424</v>
      </c>
      <c r="F9" s="22" t="s">
        <v>15</v>
      </c>
      <c r="G9" s="16">
        <v>52.73</v>
      </c>
      <c r="H9" s="17">
        <v>2</v>
      </c>
      <c r="I9" s="18">
        <v>0</v>
      </c>
      <c r="J9" s="19">
        <f>Liste[[#This Row],[Lieferungs-
kosten]]+Liste[[#This Row],[Kaufpreis]]*Liste[[#This Row],[Stückzahl]]</f>
        <v>105.46</v>
      </c>
      <c r="K9" s="20" t="s">
        <v>30</v>
      </c>
      <c r="L9" s="22" t="s">
        <v>17</v>
      </c>
    </row>
    <row r="10" spans="2:12" ht="30" customHeight="1" x14ac:dyDescent="0.2">
      <c r="B10" s="20" t="s">
        <v>31</v>
      </c>
      <c r="C10" s="14"/>
      <c r="D10" s="21" t="s">
        <v>32</v>
      </c>
      <c r="E10" s="15">
        <v>43424</v>
      </c>
      <c r="F10" s="22" t="s">
        <v>15</v>
      </c>
      <c r="G10" s="16">
        <v>5.79</v>
      </c>
      <c r="H10" s="17">
        <v>1</v>
      </c>
      <c r="I10" s="18">
        <v>0</v>
      </c>
      <c r="J10" s="19">
        <f>Liste[[#This Row],[Lieferungs-
kosten]]+Liste[[#This Row],[Kaufpreis]]*Liste[[#This Row],[Stückzahl]]</f>
        <v>5.79</v>
      </c>
      <c r="K10" s="20" t="s">
        <v>26</v>
      </c>
      <c r="L10" s="22" t="s">
        <v>17</v>
      </c>
    </row>
    <row r="11" spans="2:12" ht="30" customHeight="1" x14ac:dyDescent="0.2">
      <c r="B11" s="20" t="s">
        <v>33</v>
      </c>
      <c r="C11" s="20" t="s">
        <v>34</v>
      </c>
      <c r="D11" s="21"/>
      <c r="E11" s="15">
        <v>43428</v>
      </c>
      <c r="F11" s="22" t="s">
        <v>35</v>
      </c>
      <c r="G11" s="16">
        <f>18.99-5.4</f>
        <v>13.589999999999998</v>
      </c>
      <c r="H11" s="17">
        <v>1</v>
      </c>
      <c r="I11" s="18">
        <v>3.99</v>
      </c>
      <c r="J11" s="19">
        <f>Liste[[#This Row],[Lieferungs-
kosten]]+Liste[[#This Row],[Kaufpreis]]*Liste[[#This Row],[Stückzahl]]</f>
        <v>17.579999999999998</v>
      </c>
      <c r="K11" s="20" t="s">
        <v>26</v>
      </c>
      <c r="L11" s="20" t="s">
        <v>17</v>
      </c>
    </row>
    <row r="12" spans="2:12" ht="42.75" x14ac:dyDescent="0.2">
      <c r="B12" s="20" t="s">
        <v>36</v>
      </c>
      <c r="C12" s="20" t="s">
        <v>37</v>
      </c>
      <c r="D12" s="21"/>
      <c r="E12" s="15">
        <v>43450</v>
      </c>
      <c r="F12" s="22" t="s">
        <v>38</v>
      </c>
      <c r="G12" s="16">
        <v>1.95</v>
      </c>
      <c r="H12" s="17">
        <v>2</v>
      </c>
      <c r="I12" s="18">
        <v>1.99</v>
      </c>
      <c r="J12" s="19">
        <f>Liste[[#This Row],[Lieferungs-
kosten]]+Liste[[#This Row],[Kaufpreis]]*Liste[[#This Row],[Stückzahl]]</f>
        <v>5.89</v>
      </c>
      <c r="K12" s="20" t="s">
        <v>26</v>
      </c>
      <c r="L12" s="20" t="s">
        <v>17</v>
      </c>
    </row>
    <row r="13" spans="2:12" ht="30" customHeight="1" x14ac:dyDescent="0.2">
      <c r="B13" s="20" t="s">
        <v>39</v>
      </c>
      <c r="C13" s="14"/>
      <c r="D13" s="21"/>
      <c r="E13" s="15">
        <v>43605</v>
      </c>
      <c r="F13" s="22" t="s">
        <v>15</v>
      </c>
      <c r="G13" s="16">
        <v>39.5</v>
      </c>
      <c r="H13" s="17">
        <v>1</v>
      </c>
      <c r="I13" s="18">
        <v>0</v>
      </c>
      <c r="J13" s="19">
        <f>Liste[[#This Row],[Lieferungs-
kosten]]+Liste[[#This Row],[Kaufpreis]]*Liste[[#This Row],[Stückzahl]]</f>
        <v>39.5</v>
      </c>
      <c r="K13" s="20" t="s">
        <v>26</v>
      </c>
      <c r="L13" s="20" t="s">
        <v>17</v>
      </c>
    </row>
    <row r="14" spans="2:12" ht="30" customHeight="1" x14ac:dyDescent="0.2">
      <c r="B14" s="20" t="s">
        <v>40</v>
      </c>
      <c r="C14" s="14"/>
      <c r="D14" s="21"/>
      <c r="E14" s="15">
        <v>43617</v>
      </c>
      <c r="F14" s="22" t="s">
        <v>41</v>
      </c>
      <c r="G14" s="16">
        <v>10.16</v>
      </c>
      <c r="H14" s="17">
        <v>2</v>
      </c>
      <c r="I14" s="18">
        <v>0.41</v>
      </c>
      <c r="J14" s="19">
        <f>Liste[[#This Row],[Lieferungs-
kosten]]+Liste[[#This Row],[Kaufpreis]]*Liste[[#This Row],[Stückzahl]]</f>
        <v>20.73</v>
      </c>
      <c r="K14" s="20" t="s">
        <v>26</v>
      </c>
      <c r="L14" s="20" t="s">
        <v>17</v>
      </c>
    </row>
    <row r="15" spans="2:12" ht="30" customHeight="1" x14ac:dyDescent="0.2">
      <c r="B15" s="20" t="s">
        <v>42</v>
      </c>
      <c r="C15" s="20" t="s">
        <v>43</v>
      </c>
      <c r="D15" s="21"/>
      <c r="E15" s="15">
        <v>43617</v>
      </c>
      <c r="F15" s="22" t="s">
        <v>35</v>
      </c>
      <c r="G15" s="16">
        <v>67</v>
      </c>
      <c r="H15" s="17">
        <v>1</v>
      </c>
      <c r="I15" s="18">
        <v>0</v>
      </c>
      <c r="J15" s="19">
        <f>Liste[[#This Row],[Lieferungs-
kosten]]+Liste[[#This Row],[Kaufpreis]]*Liste[[#This Row],[Stückzahl]]</f>
        <v>67</v>
      </c>
      <c r="K15" s="20" t="s">
        <v>26</v>
      </c>
      <c r="L15" s="20" t="s">
        <v>17</v>
      </c>
    </row>
    <row r="16" spans="2:12" ht="30" customHeight="1" x14ac:dyDescent="0.2">
      <c r="B16" s="20" t="s">
        <v>46</v>
      </c>
      <c r="C16" s="20" t="s">
        <v>45</v>
      </c>
      <c r="D16" s="21"/>
      <c r="E16" s="15">
        <v>43644</v>
      </c>
      <c r="F16" s="20" t="s">
        <v>44</v>
      </c>
      <c r="G16" s="16">
        <v>25.38</v>
      </c>
      <c r="H16" s="17">
        <v>1</v>
      </c>
      <c r="I16" s="18">
        <v>0</v>
      </c>
      <c r="J16" s="19">
        <f>Liste[[#This Row],[Lieferungs-
kosten]]+Liste[[#This Row],[Kaufpreis]]*Liste[[#This Row],[Stückzahl]]</f>
        <v>25.38</v>
      </c>
      <c r="K16" s="20" t="s">
        <v>26</v>
      </c>
      <c r="L16" s="22" t="s">
        <v>17</v>
      </c>
    </row>
    <row r="17" spans="2:12" ht="30" customHeight="1" x14ac:dyDescent="0.2">
      <c r="B17" s="20" t="s">
        <v>47</v>
      </c>
      <c r="C17" s="14"/>
      <c r="D17" s="21"/>
      <c r="E17" s="15">
        <v>43653</v>
      </c>
      <c r="F17" s="20" t="s">
        <v>48</v>
      </c>
      <c r="G17" s="16">
        <v>1.25</v>
      </c>
      <c r="H17" s="17">
        <v>1</v>
      </c>
      <c r="I17" s="18">
        <v>0</v>
      </c>
      <c r="J17" s="19">
        <f>Liste[[#This Row],[Lieferungs-
kosten]]+Liste[[#This Row],[Kaufpreis]]*Liste[[#This Row],[Stückzahl]]</f>
        <v>1.25</v>
      </c>
      <c r="K17" s="20" t="s">
        <v>56</v>
      </c>
      <c r="L17" s="20" t="s">
        <v>17</v>
      </c>
    </row>
    <row r="18" spans="2:12" ht="30" customHeight="1" x14ac:dyDescent="0.2">
      <c r="B18" s="20" t="s">
        <v>49</v>
      </c>
      <c r="C18" s="14"/>
      <c r="D18" s="21"/>
      <c r="E18" s="15">
        <v>43653</v>
      </c>
      <c r="F18" s="20" t="s">
        <v>48</v>
      </c>
      <c r="G18" s="16">
        <v>2.71</v>
      </c>
      <c r="H18" s="17">
        <v>1</v>
      </c>
      <c r="I18" s="18">
        <v>0</v>
      </c>
      <c r="J18" s="19">
        <f>Liste[[#This Row],[Lieferungs-
kosten]]+Liste[[#This Row],[Kaufpreis]]*Liste[[#This Row],[Stückzahl]]</f>
        <v>2.71</v>
      </c>
      <c r="K18" s="20" t="s">
        <v>56</v>
      </c>
      <c r="L18" s="20" t="s">
        <v>17</v>
      </c>
    </row>
    <row r="19" spans="2:12" ht="30" customHeight="1" x14ac:dyDescent="0.2">
      <c r="B19" s="20" t="s">
        <v>50</v>
      </c>
      <c r="C19" s="14"/>
      <c r="D19" s="21"/>
      <c r="E19" s="15">
        <v>43653</v>
      </c>
      <c r="F19" s="20" t="s">
        <v>48</v>
      </c>
      <c r="G19" s="16">
        <v>1.04</v>
      </c>
      <c r="H19" s="17">
        <v>1</v>
      </c>
      <c r="I19" s="18">
        <v>0</v>
      </c>
      <c r="J19" s="19">
        <f>Liste[[#This Row],[Lieferungs-
kosten]]+Liste[[#This Row],[Kaufpreis]]*Liste[[#This Row],[Stückzahl]]</f>
        <v>1.04</v>
      </c>
      <c r="K19" s="20" t="s">
        <v>56</v>
      </c>
      <c r="L19" s="20" t="s">
        <v>17</v>
      </c>
    </row>
    <row r="20" spans="2:12" ht="30" customHeight="1" x14ac:dyDescent="0.2">
      <c r="B20" s="20" t="s">
        <v>52</v>
      </c>
      <c r="C20" s="20" t="s">
        <v>51</v>
      </c>
      <c r="D20" s="21"/>
      <c r="E20" s="15">
        <v>43653</v>
      </c>
      <c r="F20" s="20" t="s">
        <v>48</v>
      </c>
      <c r="G20" s="16">
        <v>0.23</v>
      </c>
      <c r="H20" s="17">
        <v>1</v>
      </c>
      <c r="I20" s="18">
        <v>0</v>
      </c>
      <c r="J20" s="19">
        <f>Liste[[#This Row],[Lieferungs-
kosten]]+Liste[[#This Row],[Kaufpreis]]*Liste[[#This Row],[Stückzahl]]</f>
        <v>0.23</v>
      </c>
      <c r="K20" s="20" t="s">
        <v>56</v>
      </c>
      <c r="L20" s="20" t="s">
        <v>17</v>
      </c>
    </row>
    <row r="21" spans="2:12" ht="30" customHeight="1" x14ac:dyDescent="0.2">
      <c r="B21" s="20" t="s">
        <v>53</v>
      </c>
      <c r="C21" s="20" t="s">
        <v>54</v>
      </c>
      <c r="D21" s="21"/>
      <c r="E21" s="15">
        <v>43653</v>
      </c>
      <c r="F21" s="20" t="s">
        <v>48</v>
      </c>
      <c r="G21" s="16">
        <v>0.81</v>
      </c>
      <c r="H21" s="17">
        <v>1</v>
      </c>
      <c r="I21" s="18">
        <v>0</v>
      </c>
      <c r="J21" s="19">
        <f>Liste[[#This Row],[Lieferungs-
kosten]]+Liste[[#This Row],[Kaufpreis]]*Liste[[#This Row],[Stückzahl]]</f>
        <v>0.81</v>
      </c>
      <c r="K21" s="20" t="s">
        <v>56</v>
      </c>
      <c r="L21" s="20" t="s">
        <v>17</v>
      </c>
    </row>
    <row r="22" spans="2:12" ht="30" customHeight="1" x14ac:dyDescent="0.2">
      <c r="B22" s="20" t="s">
        <v>55</v>
      </c>
      <c r="C22" s="14"/>
      <c r="D22" s="21"/>
      <c r="E22" s="15">
        <v>43653</v>
      </c>
      <c r="F22" s="20" t="s">
        <v>48</v>
      </c>
      <c r="G22" s="16">
        <v>2.21</v>
      </c>
      <c r="H22" s="17">
        <v>1</v>
      </c>
      <c r="I22" s="18">
        <v>0</v>
      </c>
      <c r="J22" s="19">
        <f>Liste[[#This Row],[Lieferungs-
kosten]]+Liste[[#This Row],[Kaufpreis]]*Liste[[#This Row],[Stückzahl]]</f>
        <v>2.21</v>
      </c>
      <c r="K22" s="20" t="s">
        <v>56</v>
      </c>
      <c r="L22" s="20" t="s">
        <v>17</v>
      </c>
    </row>
    <row r="23" spans="2:12" ht="30" customHeight="1" x14ac:dyDescent="0.2">
      <c r="B23" s="23" t="s">
        <v>57</v>
      </c>
      <c r="C23" s="20" t="s">
        <v>58</v>
      </c>
      <c r="D23" s="21"/>
      <c r="E23" s="15">
        <v>43653</v>
      </c>
      <c r="F23" s="20" t="s">
        <v>48</v>
      </c>
      <c r="G23" s="16">
        <v>2.2400000000000002</v>
      </c>
      <c r="H23" s="17">
        <v>1</v>
      </c>
      <c r="I23" s="18">
        <v>0</v>
      </c>
      <c r="J23" s="19">
        <f>Liste[[#This Row],[Lieferungs-
kosten]]+Liste[[#This Row],[Kaufpreis]]*Liste[[#This Row],[Stückzahl]]</f>
        <v>2.2400000000000002</v>
      </c>
      <c r="K23" s="20" t="s">
        <v>56</v>
      </c>
      <c r="L23" s="20" t="s">
        <v>17</v>
      </c>
    </row>
    <row r="24" spans="2:12" ht="30" customHeight="1" x14ac:dyDescent="0.2">
      <c r="B24" s="20" t="s">
        <v>59</v>
      </c>
      <c r="C24" s="20" t="s">
        <v>60</v>
      </c>
      <c r="D24" s="21"/>
      <c r="E24" s="15">
        <v>43653</v>
      </c>
      <c r="F24" s="20" t="s">
        <v>48</v>
      </c>
      <c r="G24" s="16">
        <v>2.34</v>
      </c>
      <c r="H24" s="17">
        <v>2</v>
      </c>
      <c r="I24" s="18">
        <v>3.16</v>
      </c>
      <c r="J24" s="19">
        <f>Liste[[#This Row],[Lieferungs-
kosten]]+Liste[[#This Row],[Kaufpreis]]*Liste[[#This Row],[Stückzahl]]</f>
        <v>7.84</v>
      </c>
      <c r="K24" s="20" t="s">
        <v>56</v>
      </c>
      <c r="L24" s="20" t="s">
        <v>17</v>
      </c>
    </row>
    <row r="25" spans="2:12" ht="30" customHeight="1" x14ac:dyDescent="0.2">
      <c r="B25" s="20" t="s">
        <v>61</v>
      </c>
      <c r="C25" s="20" t="s">
        <v>62</v>
      </c>
      <c r="D25" s="21"/>
      <c r="E25" s="15">
        <v>43653</v>
      </c>
      <c r="F25" s="20" t="s">
        <v>48</v>
      </c>
      <c r="G25" s="16">
        <v>3.48</v>
      </c>
      <c r="H25" s="17">
        <v>1</v>
      </c>
      <c r="I25" s="18">
        <v>0</v>
      </c>
      <c r="J25" s="19">
        <f>Liste[[#This Row],[Lieferungs-
kosten]]+Liste[[#This Row],[Kaufpreis]]*Liste[[#This Row],[Stückzahl]]</f>
        <v>3.48</v>
      </c>
      <c r="K25" s="20" t="s">
        <v>56</v>
      </c>
      <c r="L25" s="20" t="s">
        <v>17</v>
      </c>
    </row>
    <row r="26" spans="2:12" ht="30" customHeight="1" x14ac:dyDescent="0.2">
      <c r="B26" s="20" t="s">
        <v>64</v>
      </c>
      <c r="C26" s="24" t="s">
        <v>63</v>
      </c>
      <c r="D26" s="21"/>
      <c r="E26" s="15">
        <v>43653</v>
      </c>
      <c r="F26" s="20" t="s">
        <v>15</v>
      </c>
      <c r="G26" s="16">
        <v>4.1100000000000003</v>
      </c>
      <c r="H26" s="17">
        <v>1</v>
      </c>
      <c r="I26" s="18">
        <v>0</v>
      </c>
      <c r="J26" s="19">
        <f>Liste[[#This Row],[Lieferungs-
kosten]]+Liste[[#This Row],[Kaufpreis]]*Liste[[#This Row],[Stückzahl]]</f>
        <v>4.1100000000000003</v>
      </c>
      <c r="K26" s="20" t="s">
        <v>56</v>
      </c>
      <c r="L26" s="20" t="s">
        <v>17</v>
      </c>
    </row>
    <row r="27" spans="2:12" ht="30" customHeight="1" x14ac:dyDescent="0.2">
      <c r="B27" s="20" t="s">
        <v>65</v>
      </c>
      <c r="C27" s="20" t="s">
        <v>66</v>
      </c>
      <c r="D27" s="21"/>
      <c r="E27" s="25">
        <v>43653</v>
      </c>
      <c r="F27" s="20" t="s">
        <v>15</v>
      </c>
      <c r="G27" s="16">
        <v>3.46</v>
      </c>
      <c r="H27" s="17">
        <v>1</v>
      </c>
      <c r="I27" s="18">
        <v>0</v>
      </c>
      <c r="J27" s="19">
        <f>Liste[[#This Row],[Lieferungs-
kosten]]+Liste[[#This Row],[Kaufpreis]]*Liste[[#This Row],[Stückzahl]]</f>
        <v>3.46</v>
      </c>
      <c r="K27" s="20" t="s">
        <v>56</v>
      </c>
      <c r="L27" s="20" t="s">
        <v>17</v>
      </c>
    </row>
    <row r="28" spans="2:12" ht="30" customHeight="1" x14ac:dyDescent="0.2">
      <c r="B28" s="20" t="s">
        <v>67</v>
      </c>
      <c r="C28" s="20" t="s">
        <v>68</v>
      </c>
      <c r="D28" s="21"/>
      <c r="E28" s="15">
        <v>43662</v>
      </c>
      <c r="F28" s="20" t="s">
        <v>69</v>
      </c>
      <c r="G28" s="16">
        <v>1</v>
      </c>
      <c r="H28" s="17">
        <v>1</v>
      </c>
      <c r="I28" s="18"/>
      <c r="J28" s="19">
        <f>Liste[[#This Row],[Lieferungs-
kosten]]+Liste[[#This Row],[Kaufpreis]]*Liste[[#This Row],[Stückzahl]]</f>
        <v>1</v>
      </c>
      <c r="K28" s="20" t="s">
        <v>56</v>
      </c>
      <c r="L28" s="20"/>
    </row>
    <row r="29" spans="2:12" ht="30" customHeight="1" x14ac:dyDescent="0.2">
      <c r="B29" s="20" t="s">
        <v>71</v>
      </c>
      <c r="C29" s="20" t="s">
        <v>70</v>
      </c>
      <c r="D29" s="21"/>
      <c r="E29" s="15">
        <v>43660</v>
      </c>
      <c r="F29" s="20" t="s">
        <v>48</v>
      </c>
      <c r="G29" s="16">
        <v>22.31</v>
      </c>
      <c r="H29" s="17">
        <v>1</v>
      </c>
      <c r="I29" s="18">
        <v>0</v>
      </c>
      <c r="J29" s="19">
        <f>Liste[[#This Row],[Lieferungs-
kosten]]+Liste[[#This Row],[Kaufpreis]]*Liste[[#This Row],[Stückzahl]]</f>
        <v>22.31</v>
      </c>
      <c r="K29" s="14"/>
      <c r="L29" s="20" t="s">
        <v>17</v>
      </c>
    </row>
    <row r="30" spans="2:12" ht="30" customHeight="1" x14ac:dyDescent="0.2">
      <c r="B30" s="20" t="s">
        <v>72</v>
      </c>
      <c r="C30" s="20" t="s">
        <v>73</v>
      </c>
      <c r="D30" s="21"/>
      <c r="E30" s="15">
        <v>43660</v>
      </c>
      <c r="F30" s="20" t="s">
        <v>48</v>
      </c>
      <c r="G30" s="16">
        <v>1.88</v>
      </c>
      <c r="H30" s="17">
        <v>1</v>
      </c>
      <c r="I30" s="18">
        <v>0.91</v>
      </c>
      <c r="J30" s="19">
        <f>Liste[[#This Row],[Lieferungs-
kosten]]+Liste[[#This Row],[Kaufpreis]]*Liste[[#This Row],[Stückzahl]]</f>
        <v>2.79</v>
      </c>
      <c r="K30" s="14"/>
      <c r="L30" s="20" t="s">
        <v>17</v>
      </c>
    </row>
    <row r="31" spans="2:12" ht="30" customHeight="1" x14ac:dyDescent="0.2">
      <c r="B31" s="20" t="s">
        <v>74</v>
      </c>
      <c r="C31" s="14"/>
      <c r="D31" s="21"/>
      <c r="E31" s="15">
        <v>43660</v>
      </c>
      <c r="F31" s="20" t="s">
        <v>48</v>
      </c>
      <c r="G31" s="16">
        <v>0.83</v>
      </c>
      <c r="H31" s="17">
        <v>1</v>
      </c>
      <c r="I31" s="18">
        <v>0.31</v>
      </c>
      <c r="J31" s="19">
        <f>Liste[[#This Row],[Lieferungs-
kosten]]+Liste[[#This Row],[Kaufpreis]]*Liste[[#This Row],[Stückzahl]]</f>
        <v>1.1399999999999999</v>
      </c>
      <c r="K31" s="14"/>
      <c r="L31" s="20" t="s">
        <v>17</v>
      </c>
    </row>
    <row r="32" spans="2:12" ht="30" customHeight="1" x14ac:dyDescent="0.2">
      <c r="B32" s="20" t="s">
        <v>75</v>
      </c>
      <c r="C32" s="20" t="s">
        <v>76</v>
      </c>
      <c r="D32" s="21"/>
      <c r="E32" s="15">
        <v>43660</v>
      </c>
      <c r="F32" s="20" t="s">
        <v>48</v>
      </c>
      <c r="G32" s="16">
        <v>12.08</v>
      </c>
      <c r="H32" s="17">
        <v>1</v>
      </c>
      <c r="I32" s="18">
        <v>0</v>
      </c>
      <c r="J32" s="19">
        <f>Liste[[#This Row],[Lieferungs-
kosten]]+Liste[[#This Row],[Kaufpreis]]*Liste[[#This Row],[Stückzahl]]</f>
        <v>12.08</v>
      </c>
      <c r="K32" s="14"/>
      <c r="L32" s="20" t="s">
        <v>17</v>
      </c>
    </row>
    <row r="33" spans="2:12" ht="30" customHeight="1" x14ac:dyDescent="0.2">
      <c r="B33" s="20" t="s">
        <v>78</v>
      </c>
      <c r="C33" s="20" t="s">
        <v>77</v>
      </c>
      <c r="D33" s="21"/>
      <c r="E33" s="15">
        <v>43660</v>
      </c>
      <c r="F33" s="20" t="s">
        <v>48</v>
      </c>
      <c r="G33" s="16">
        <v>1.61</v>
      </c>
      <c r="H33" s="17">
        <v>1</v>
      </c>
      <c r="I33" s="18">
        <v>0.23</v>
      </c>
      <c r="J33" s="19">
        <f>Liste[[#This Row],[Lieferungs-
kosten]]+Liste[[#This Row],[Kaufpreis]]*Liste[[#This Row],[Stückzahl]]</f>
        <v>1.84</v>
      </c>
      <c r="K33" s="14"/>
      <c r="L33" s="20" t="s">
        <v>17</v>
      </c>
    </row>
    <row r="34" spans="2:12" ht="30" customHeight="1" x14ac:dyDescent="0.2">
      <c r="B34" s="20" t="s">
        <v>79</v>
      </c>
      <c r="C34" s="20" t="s">
        <v>80</v>
      </c>
      <c r="D34" s="21"/>
      <c r="E34" s="15">
        <v>43660</v>
      </c>
      <c r="F34" s="20" t="s">
        <v>48</v>
      </c>
      <c r="G34" s="16">
        <v>1.34</v>
      </c>
      <c r="H34" s="17">
        <v>1</v>
      </c>
      <c r="I34" s="18">
        <v>0</v>
      </c>
      <c r="J34" s="19">
        <f>Liste[[#This Row],[Lieferungs-
kosten]]+Liste[[#This Row],[Kaufpreis]]*Liste[[#This Row],[Stückzahl]]</f>
        <v>1.34</v>
      </c>
      <c r="K34" s="14"/>
      <c r="L34" s="20" t="s">
        <v>17</v>
      </c>
    </row>
    <row r="35" spans="2:12" ht="30" customHeight="1" x14ac:dyDescent="0.2">
      <c r="B35" s="20" t="s">
        <v>81</v>
      </c>
      <c r="C35" s="20" t="s">
        <v>73</v>
      </c>
      <c r="D35" s="21"/>
      <c r="E35" s="15">
        <v>43660</v>
      </c>
      <c r="F35" s="20" t="s">
        <v>48</v>
      </c>
      <c r="G35" s="16">
        <v>6.3</v>
      </c>
      <c r="H35" s="17">
        <v>1</v>
      </c>
      <c r="I35" s="18">
        <v>1.05</v>
      </c>
      <c r="J35" s="19">
        <f>Liste[[#This Row],[Lieferungs-
kosten]]+Liste[[#This Row],[Kaufpreis]]*Liste[[#This Row],[Stückzahl]]</f>
        <v>7.35</v>
      </c>
      <c r="K35" s="14"/>
      <c r="L35" s="20" t="s">
        <v>17</v>
      </c>
    </row>
    <row r="36" spans="2:12" ht="30" customHeight="1" x14ac:dyDescent="0.2">
      <c r="B36" s="20" t="s">
        <v>82</v>
      </c>
      <c r="C36" s="20" t="s">
        <v>83</v>
      </c>
      <c r="D36" s="21"/>
      <c r="E36" s="15">
        <v>43660</v>
      </c>
      <c r="F36" s="20" t="s">
        <v>48</v>
      </c>
      <c r="G36" s="16">
        <v>2.0699999999999998</v>
      </c>
      <c r="H36" s="17">
        <v>1</v>
      </c>
      <c r="I36" s="18">
        <v>0</v>
      </c>
      <c r="J36" s="19">
        <f>Liste[[#This Row],[Lieferungs-
kosten]]+Liste[[#This Row],[Kaufpreis]]*Liste[[#This Row],[Stückzahl]]</f>
        <v>2.0699999999999998</v>
      </c>
      <c r="K36" s="14"/>
      <c r="L36" s="20" t="s">
        <v>17</v>
      </c>
    </row>
    <row r="37" spans="2:12" ht="30" customHeight="1" x14ac:dyDescent="0.2">
      <c r="B37" s="20" t="s">
        <v>84</v>
      </c>
      <c r="C37" s="20" t="s">
        <v>85</v>
      </c>
      <c r="D37" s="21"/>
      <c r="E37" s="15">
        <v>43660</v>
      </c>
      <c r="F37" s="20" t="s">
        <v>48</v>
      </c>
      <c r="G37" s="16">
        <v>1.28</v>
      </c>
      <c r="H37" s="17">
        <v>1</v>
      </c>
      <c r="I37" s="18">
        <v>0</v>
      </c>
      <c r="J37" s="19">
        <f>Liste[[#This Row],[Lieferungs-
kosten]]+Liste[[#This Row],[Kaufpreis]]*Liste[[#This Row],[Stückzahl]]</f>
        <v>1.28</v>
      </c>
      <c r="K37" s="14"/>
      <c r="L37" s="20" t="s">
        <v>17</v>
      </c>
    </row>
    <row r="38" spans="2:12" ht="30" customHeight="1" x14ac:dyDescent="0.2">
      <c r="B38" s="20" t="s">
        <v>93</v>
      </c>
      <c r="C38" s="14"/>
      <c r="D38" s="21"/>
      <c r="E38" s="15">
        <v>43660</v>
      </c>
      <c r="F38" s="20" t="s">
        <v>48</v>
      </c>
      <c r="G38" s="16">
        <v>2.63</v>
      </c>
      <c r="H38" s="17">
        <v>1</v>
      </c>
      <c r="I38" s="18">
        <v>1.1100000000000001</v>
      </c>
      <c r="J38" s="19">
        <f>Liste[[#This Row],[Lieferungs-
kosten]]+Liste[[#This Row],[Kaufpreis]]*Liste[[#This Row],[Stückzahl]]</f>
        <v>3.74</v>
      </c>
      <c r="K38" s="14"/>
      <c r="L38" s="20" t="s">
        <v>17</v>
      </c>
    </row>
    <row r="39" spans="2:12" ht="30" customHeight="1" x14ac:dyDescent="0.2">
      <c r="B39" s="20" t="s">
        <v>86</v>
      </c>
      <c r="C39" s="20" t="s">
        <v>87</v>
      </c>
      <c r="D39" s="21"/>
      <c r="E39" s="15">
        <v>43669</v>
      </c>
      <c r="F39" s="20" t="s">
        <v>15</v>
      </c>
      <c r="G39" s="16">
        <v>2.42</v>
      </c>
      <c r="H39" s="17">
        <v>1</v>
      </c>
      <c r="I39" s="18">
        <v>0</v>
      </c>
      <c r="J39" s="19">
        <f>Liste[[#This Row],[Lieferungs-
kosten]]+Liste[[#This Row],[Kaufpreis]]*Liste[[#This Row],[Stückzahl]]</f>
        <v>2.42</v>
      </c>
      <c r="K39" s="20" t="s">
        <v>56</v>
      </c>
      <c r="L39" s="20" t="s">
        <v>17</v>
      </c>
    </row>
    <row r="40" spans="2:12" ht="30" customHeight="1" x14ac:dyDescent="0.2">
      <c r="B40" s="20" t="s">
        <v>88</v>
      </c>
      <c r="C40" s="20" t="s">
        <v>89</v>
      </c>
      <c r="D40" s="21"/>
      <c r="E40" s="15">
        <v>43667</v>
      </c>
      <c r="F40" s="20" t="s">
        <v>48</v>
      </c>
      <c r="G40" s="16">
        <v>0.86</v>
      </c>
      <c r="H40" s="17">
        <v>1</v>
      </c>
      <c r="I40" s="18">
        <v>0.64</v>
      </c>
      <c r="J40" s="19">
        <f>Liste[[#This Row],[Lieferungs-
kosten]]+Liste[[#This Row],[Kaufpreis]]*Liste[[#This Row],[Stückzahl]]</f>
        <v>1.5</v>
      </c>
      <c r="K40" s="20" t="s">
        <v>56</v>
      </c>
      <c r="L40" s="20" t="s">
        <v>17</v>
      </c>
    </row>
    <row r="41" spans="2:12" ht="30" customHeight="1" x14ac:dyDescent="0.2">
      <c r="B41" s="20" t="s">
        <v>90</v>
      </c>
      <c r="C41" s="20" t="s">
        <v>91</v>
      </c>
      <c r="D41" s="21"/>
      <c r="E41" s="15">
        <v>43671</v>
      </c>
      <c r="F41" s="20" t="s">
        <v>15</v>
      </c>
      <c r="G41" s="16">
        <v>8.6</v>
      </c>
      <c r="H41" s="17">
        <v>1</v>
      </c>
      <c r="I41" s="18">
        <v>0</v>
      </c>
      <c r="J41" s="19">
        <f>Liste[[#This Row],[Lieferungs-
kosten]]+Liste[[#This Row],[Kaufpreis]]*Liste[[#This Row],[Stückzahl]]</f>
        <v>8.6</v>
      </c>
      <c r="K41" s="14"/>
      <c r="L41" s="20" t="s">
        <v>17</v>
      </c>
    </row>
    <row r="42" spans="2:12" ht="30" customHeight="1" x14ac:dyDescent="0.2">
      <c r="B42" s="20" t="s">
        <v>92</v>
      </c>
      <c r="C42" s="20" t="s">
        <v>68</v>
      </c>
      <c r="D42" s="21"/>
      <c r="E42" s="15">
        <v>43680</v>
      </c>
      <c r="F42" s="14"/>
      <c r="G42" s="16">
        <v>5</v>
      </c>
      <c r="H42" s="17">
        <v>1</v>
      </c>
      <c r="I42" s="18">
        <v>0</v>
      </c>
      <c r="J42" s="19">
        <f>Liste[[#This Row],[Lieferungs-
kosten]]+Liste[[#This Row],[Kaufpreis]]*Liste[[#This Row],[Stückzahl]]</f>
        <v>5</v>
      </c>
      <c r="K42" s="20" t="s">
        <v>56</v>
      </c>
      <c r="L42" s="20" t="s">
        <v>17</v>
      </c>
    </row>
    <row r="43" spans="2:12" ht="30" customHeight="1" x14ac:dyDescent="0.2">
      <c r="B43" s="20" t="s">
        <v>94</v>
      </c>
      <c r="C43" s="14"/>
      <c r="D43" s="21"/>
      <c r="E43" s="15">
        <v>43680</v>
      </c>
      <c r="F43" s="20" t="s">
        <v>48</v>
      </c>
      <c r="G43" s="16">
        <v>1.39</v>
      </c>
      <c r="H43" s="17">
        <v>1</v>
      </c>
      <c r="I43" s="18">
        <v>0.67</v>
      </c>
      <c r="J43" s="19">
        <f>Liste[[#This Row],[Lieferungs-
kosten]]+Liste[[#This Row],[Kaufpreis]]*Liste[[#This Row],[Stückzahl]]</f>
        <v>2.06</v>
      </c>
      <c r="K43" s="20" t="s">
        <v>56</v>
      </c>
      <c r="L43" s="20" t="s">
        <v>17</v>
      </c>
    </row>
    <row r="44" spans="2:12" ht="30" customHeight="1" x14ac:dyDescent="0.2">
      <c r="B44" s="20" t="s">
        <v>95</v>
      </c>
      <c r="C44" s="20" t="s">
        <v>107</v>
      </c>
      <c r="D44" s="21"/>
      <c r="E44" s="15">
        <v>43693</v>
      </c>
      <c r="F44" s="20" t="s">
        <v>48</v>
      </c>
      <c r="G44" s="16">
        <v>1.95</v>
      </c>
      <c r="H44" s="17">
        <v>1</v>
      </c>
      <c r="I44" s="18">
        <v>0</v>
      </c>
      <c r="J44" s="19">
        <f>Liste[[#This Row],[Lieferungs-
kosten]]+Liste[[#This Row],[Kaufpreis]]*Liste[[#This Row],[Stückzahl]]</f>
        <v>1.95</v>
      </c>
      <c r="K44" s="14"/>
      <c r="L44" s="20" t="s">
        <v>17</v>
      </c>
    </row>
    <row r="45" spans="2:12" ht="30" customHeight="1" x14ac:dyDescent="0.2">
      <c r="B45" s="20" t="s">
        <v>96</v>
      </c>
      <c r="C45" s="20" t="s">
        <v>97</v>
      </c>
      <c r="D45" s="21"/>
      <c r="E45" s="15">
        <v>43700</v>
      </c>
      <c r="F45" s="20" t="s">
        <v>15</v>
      </c>
      <c r="G45" s="16">
        <v>88</v>
      </c>
      <c r="H45" s="17">
        <v>1</v>
      </c>
      <c r="I45" s="18">
        <v>0</v>
      </c>
      <c r="J45" s="19">
        <f>Liste[[#This Row],[Lieferungs-
kosten]]+Liste[[#This Row],[Kaufpreis]]*Liste[[#This Row],[Stückzahl]]</f>
        <v>88</v>
      </c>
      <c r="K45" s="14"/>
      <c r="L45" s="20" t="s">
        <v>17</v>
      </c>
    </row>
    <row r="46" spans="2:12" ht="30" customHeight="1" x14ac:dyDescent="0.2">
      <c r="B46" s="20" t="s">
        <v>98</v>
      </c>
      <c r="C46" s="14"/>
      <c r="D46" s="21"/>
      <c r="E46" s="15">
        <v>43705</v>
      </c>
      <c r="F46" s="20" t="s">
        <v>35</v>
      </c>
      <c r="G46" s="16">
        <v>9.99</v>
      </c>
      <c r="H46" s="17">
        <v>1</v>
      </c>
      <c r="I46" s="18">
        <v>0</v>
      </c>
      <c r="J46" s="19">
        <f>Liste[[#This Row],[Lieferungs-
kosten]]+Liste[[#This Row],[Kaufpreis]]*Liste[[#This Row],[Stückzahl]]</f>
        <v>9.99</v>
      </c>
      <c r="K46" s="14"/>
      <c r="L46" s="20" t="s">
        <v>17</v>
      </c>
    </row>
    <row r="47" spans="2:12" ht="30" customHeight="1" x14ac:dyDescent="0.2">
      <c r="B47" s="20" t="s">
        <v>99</v>
      </c>
      <c r="C47" s="20" t="s">
        <v>68</v>
      </c>
      <c r="D47" s="21"/>
      <c r="E47" s="15">
        <v>43705</v>
      </c>
      <c r="F47" s="14"/>
      <c r="G47" s="16"/>
      <c r="H47" s="17">
        <v>1</v>
      </c>
      <c r="I47" s="18">
        <v>1</v>
      </c>
      <c r="J47" s="19">
        <f>Liste[[#This Row],[Lieferungs-
kosten]]+Liste[[#This Row],[Kaufpreis]]*Liste[[#This Row],[Stückzahl]]</f>
        <v>1</v>
      </c>
      <c r="K47" s="20" t="s">
        <v>56</v>
      </c>
      <c r="L47" s="14"/>
    </row>
    <row r="48" spans="2:12" ht="30" customHeight="1" x14ac:dyDescent="0.2">
      <c r="B48" s="20" t="s">
        <v>100</v>
      </c>
      <c r="C48" s="20" t="s">
        <v>101</v>
      </c>
      <c r="D48" s="21"/>
      <c r="E48" s="15">
        <v>43717</v>
      </c>
      <c r="F48" s="20" t="s">
        <v>15</v>
      </c>
      <c r="G48" s="16">
        <v>1.74</v>
      </c>
      <c r="H48" s="17">
        <v>1</v>
      </c>
      <c r="I48" s="18">
        <v>0</v>
      </c>
      <c r="J48" s="19">
        <f>Liste[[#This Row],[Lieferungs-
kosten]]+Liste[[#This Row],[Kaufpreis]]*Liste[[#This Row],[Stückzahl]]</f>
        <v>1.74</v>
      </c>
      <c r="K48" s="14"/>
      <c r="L48" s="14"/>
    </row>
    <row r="49" spans="2:12" ht="30" customHeight="1" x14ac:dyDescent="0.2">
      <c r="B49" s="20" t="s">
        <v>102</v>
      </c>
      <c r="C49" s="20" t="s">
        <v>103</v>
      </c>
      <c r="D49" s="21"/>
      <c r="E49" s="15">
        <v>43717</v>
      </c>
      <c r="F49" s="20" t="s">
        <v>104</v>
      </c>
      <c r="G49" s="16">
        <v>4.5</v>
      </c>
      <c r="H49" s="17">
        <v>1</v>
      </c>
      <c r="I49" s="18">
        <v>0</v>
      </c>
      <c r="J49" s="19">
        <f>Liste[[#This Row],[Lieferungs-
kosten]]+Liste[[#This Row],[Kaufpreis]]*Liste[[#This Row],[Stückzahl]]</f>
        <v>4.5</v>
      </c>
      <c r="K49" s="20" t="s">
        <v>56</v>
      </c>
      <c r="L49" s="14"/>
    </row>
    <row r="50" spans="2:12" ht="30" customHeight="1" x14ac:dyDescent="0.2">
      <c r="B50" s="20" t="s">
        <v>94</v>
      </c>
      <c r="C50" s="20" t="s">
        <v>105</v>
      </c>
      <c r="D50" s="21"/>
      <c r="E50" s="15">
        <v>43717</v>
      </c>
      <c r="F50" s="20" t="s">
        <v>35</v>
      </c>
      <c r="G50" s="16">
        <v>9.99</v>
      </c>
      <c r="H50" s="17">
        <v>1</v>
      </c>
      <c r="I50" s="18">
        <v>0</v>
      </c>
      <c r="J50" s="19">
        <f>Liste[[#This Row],[Lieferungs-
kosten]]+Liste[[#This Row],[Kaufpreis]]*Liste[[#This Row],[Stückzahl]]</f>
        <v>9.99</v>
      </c>
      <c r="K50" s="20" t="s">
        <v>56</v>
      </c>
      <c r="L50" s="14"/>
    </row>
    <row r="51" spans="2:12" ht="30" customHeight="1" x14ac:dyDescent="0.2">
      <c r="B51" s="20" t="s">
        <v>106</v>
      </c>
      <c r="C51" s="20" t="s">
        <v>105</v>
      </c>
      <c r="D51" s="21"/>
      <c r="E51" s="15">
        <v>43717</v>
      </c>
      <c r="F51" s="20" t="s">
        <v>35</v>
      </c>
      <c r="G51" s="16">
        <v>6.99</v>
      </c>
      <c r="H51" s="17">
        <v>1</v>
      </c>
      <c r="I51" s="18">
        <v>0</v>
      </c>
      <c r="J51" s="19">
        <f>Liste[[#This Row],[Lieferungs-
kosten]]+Liste[[#This Row],[Kaufpreis]]*Liste[[#This Row],[Stückzahl]]</f>
        <v>6.99</v>
      </c>
      <c r="K51" s="20" t="s">
        <v>56</v>
      </c>
      <c r="L51" s="14"/>
    </row>
    <row r="52" spans="2:12" ht="28.5" x14ac:dyDescent="0.2">
      <c r="B52" s="20" t="s">
        <v>95</v>
      </c>
      <c r="C52" s="20" t="s">
        <v>108</v>
      </c>
      <c r="D52" s="21"/>
      <c r="E52" s="15">
        <v>43722</v>
      </c>
      <c r="F52" s="20" t="s">
        <v>15</v>
      </c>
      <c r="G52" s="16">
        <v>3.79</v>
      </c>
      <c r="H52" s="17">
        <v>1</v>
      </c>
      <c r="I52" s="18">
        <v>0</v>
      </c>
      <c r="J52" s="19">
        <f>Liste[[#This Row],[Lieferungs-
kosten]]+Liste[[#This Row],[Kaufpreis]]*Liste[[#This Row],[Stückzahl]]</f>
        <v>3.79</v>
      </c>
      <c r="K52" s="20"/>
      <c r="L52" s="14"/>
    </row>
    <row r="53" spans="2:12" ht="42.75" x14ac:dyDescent="0.2">
      <c r="B53" s="20" t="s">
        <v>36</v>
      </c>
      <c r="C53" s="20" t="s">
        <v>37</v>
      </c>
      <c r="D53" s="21"/>
      <c r="E53" s="15">
        <v>43723</v>
      </c>
      <c r="F53" s="20" t="s">
        <v>15</v>
      </c>
      <c r="G53" s="16">
        <v>1.41</v>
      </c>
      <c r="H53" s="17">
        <v>2</v>
      </c>
      <c r="I53" s="18">
        <v>0.99</v>
      </c>
      <c r="J53" s="19">
        <f>Liste[[#This Row],[Lieferungs-
kosten]]+Liste[[#This Row],[Kaufpreis]]*Liste[[#This Row],[Stückzahl]]</f>
        <v>3.8099999999999996</v>
      </c>
      <c r="K53" s="20" t="s">
        <v>56</v>
      </c>
      <c r="L53" s="14"/>
    </row>
    <row r="54" spans="2:12" ht="30" customHeight="1" x14ac:dyDescent="0.2">
      <c r="B54" s="20" t="s">
        <v>95</v>
      </c>
      <c r="C54" s="20" t="s">
        <v>108</v>
      </c>
      <c r="D54" s="21"/>
      <c r="E54" s="15">
        <v>43726</v>
      </c>
      <c r="F54" s="20" t="s">
        <v>15</v>
      </c>
      <c r="G54" s="16">
        <v>3.79</v>
      </c>
      <c r="H54" s="17">
        <v>1</v>
      </c>
      <c r="I54" s="18">
        <v>0</v>
      </c>
      <c r="J54" s="19">
        <f>Liste[[#This Row],[Lieferungs-
kosten]]+Liste[[#This Row],[Kaufpreis]]*Liste[[#This Row],[Stückzahl]]</f>
        <v>3.79</v>
      </c>
      <c r="K54" s="14"/>
      <c r="L54" s="14"/>
    </row>
    <row r="55" spans="2:12" ht="30" customHeight="1" x14ac:dyDescent="0.2">
      <c r="B55" s="20" t="s">
        <v>109</v>
      </c>
      <c r="C55" s="20" t="s">
        <v>110</v>
      </c>
      <c r="D55" s="21"/>
      <c r="E55" s="15">
        <v>43728</v>
      </c>
      <c r="F55" s="20" t="s">
        <v>104</v>
      </c>
      <c r="G55" s="16">
        <v>6.8</v>
      </c>
      <c r="H55" s="17">
        <v>1</v>
      </c>
      <c r="I55" s="18">
        <v>0</v>
      </c>
      <c r="J55" s="19">
        <f>Liste[[#This Row],[Lieferungs-
kosten]]+Liste[[#This Row],[Kaufpreis]]*Liste[[#This Row],[Stückzahl]]</f>
        <v>6.8</v>
      </c>
      <c r="K55" s="14"/>
      <c r="L55" s="14"/>
    </row>
    <row r="56" spans="2:12" ht="42.75" x14ac:dyDescent="0.2">
      <c r="B56" s="20" t="s">
        <v>112</v>
      </c>
      <c r="C56" s="20" t="s">
        <v>113</v>
      </c>
      <c r="D56" s="27" t="s">
        <v>114</v>
      </c>
      <c r="E56" s="15">
        <v>43732</v>
      </c>
      <c r="F56" s="20" t="s">
        <v>111</v>
      </c>
      <c r="G56" s="16">
        <v>3.6</v>
      </c>
      <c r="H56" s="17">
        <v>1</v>
      </c>
      <c r="I56" s="18">
        <v>7.01</v>
      </c>
      <c r="J56" s="19">
        <f>Liste[[#This Row],[Lieferungs-
kosten]]+Liste[[#This Row],[Kaufpreis]]*Liste[[#This Row],[Stückzahl]]</f>
        <v>10.61</v>
      </c>
      <c r="K56" s="14"/>
      <c r="L56" s="14"/>
    </row>
    <row r="57" spans="2:12" ht="30" customHeight="1" x14ac:dyDescent="0.2">
      <c r="B57" s="14"/>
      <c r="C57" s="14"/>
      <c r="D57" s="21"/>
      <c r="E57" s="15"/>
      <c r="F57" s="14"/>
      <c r="G57" s="16"/>
      <c r="H57" s="17"/>
      <c r="I57" s="18"/>
      <c r="J57" s="19">
        <f>Liste[[#This Row],[Lieferungs-
kosten]]+Liste[[#This Row],[Kaufpreis]]*Liste[[#This Row],[Stückzahl]]</f>
        <v>0</v>
      </c>
      <c r="K57" s="14"/>
      <c r="L57" s="14"/>
    </row>
  </sheetData>
  <mergeCells count="1">
    <mergeCell ref="B1:C1"/>
  </mergeCells>
  <phoneticPr fontId="1" type="noConversion"/>
  <dataValidations disablePrompts="1" xWindow="421" yWindow="547" count="15">
    <dataValidation allowBlank="1" showInputMessage="1" showErrorMessage="1" prompt="Erstellen Sie auf diesem Arbeitsblatt eine Bestandsliste für Privathaushalte. Geben Sie in der Listentabelle Bestandsdetails ein. Der geschätzte Gesamtwert wird in Zelle C10 automatisch berechnet. Der Tipp befindet sich in Zelle D2." sqref="A1" xr:uid="{00000000-0002-0000-0000-000000000000}"/>
    <dataValidation allowBlank="1" showInputMessage="1" showErrorMessage="1" prompt="Der Titel dieses Arbeitsblatts befindet sich in dieser Zelle. Geben Sie den Namen, die Adresse, die Telefonnummer und Versicherungsdetails in den Zellen unten ein." sqref="H1:K1 B1:C1" xr:uid="{00000000-0002-0000-0000-000001000000}"/>
    <dataValidation allowBlank="1" showInputMessage="1" showErrorMessage="1" prompt="Geben Sie den Namen in der Zelle rechts ein." sqref="B2" xr:uid="{00000000-0002-0000-0000-000002000000}"/>
    <dataValidation allowBlank="1" showInputMessage="1" showErrorMessage="1" prompt="Geben Sie den Namen in dieser Zelle ein." sqref="C2" xr:uid="{00000000-0002-0000-0000-000003000000}"/>
    <dataValidation allowBlank="1" showInputMessage="1" showErrorMessage="1" prompt="Der geschätzte Gesamtwert aller Artikel wird in der Zelle rechts automatisch berechnet." sqref="B3" xr:uid="{00000000-0002-0000-0000-000012000000}"/>
    <dataValidation allowBlank="1" showInputMessage="1" showErrorMessage="1" prompt="Der geschätzte Gesamtwert aller Artikel wird in dieser Zelle automatisch berechnet. Geben Sie in der Tabelle unten Bestandsdetails ein." sqref="C3" xr:uid="{00000000-0002-0000-0000-000013000000}"/>
    <dataValidation allowBlank="1" showInputMessage="1" showErrorMessage="1" prompt="Geben Sie in dieser Spalte unter dieser Überschrift eine Artikel- oder Produktbeschreibung ein." sqref="B5" xr:uid="{00000000-0002-0000-0000-000015000000}"/>
    <dataValidation allowBlank="1" showInputMessage="1" showErrorMessage="1" prompt="Geben Sie in dieser Spalte unter dieser Überschrift das Fabrikat oder Modell ein." sqref="C5" xr:uid="{00000000-0002-0000-0000-000016000000}"/>
    <dataValidation allowBlank="1" showInputMessage="1" showErrorMessage="1" prompt="Geben Sie in dieser Spalte unter dieser Überschrift die Seriennummer oder ID-Nummer ein." sqref="D5" xr:uid="{00000000-0002-0000-0000-000017000000}"/>
    <dataValidation allowBlank="1" showInputMessage="1" showErrorMessage="1" prompt="Geben Sie in dieser Spalte unter dieser Überschrift das Kaufdatum ein." sqref="E5" xr:uid="{00000000-0002-0000-0000-000018000000}"/>
    <dataValidation allowBlank="1" showInputMessage="1" showErrorMessage="1" prompt="Geben Sie in dieser Spalte unter dieser Überschrift die Einkaufsquelle ein." sqref="F5" xr:uid="{00000000-0002-0000-0000-000019000000}"/>
    <dataValidation allowBlank="1" showInputMessage="1" showErrorMessage="1" prompt="Geben Sie in dieser Spalte unter dieser Überschrift den Kaufpreis ein." sqref="G5:H5" xr:uid="{00000000-0002-0000-0000-00001A000000}"/>
    <dataValidation allowBlank="1" showInputMessage="1" showErrorMessage="1" prompt="Geben Sie in dieser Spalte unter dieser Überschrift den geschätzten aktuellen Wert ein." sqref="I5:J5" xr:uid="{00000000-0002-0000-0000-00001B000000}"/>
    <dataValidation allowBlank="1" showInputMessage="1" showErrorMessage="1" prompt="Geben Sie in dieser Spalte unter dieser Überschrift Anmerkungen ein." sqref="K5" xr:uid="{00000000-0002-0000-0000-00001C000000}"/>
    <dataValidation allowBlank="1" showInputMessage="1" showErrorMessage="1" prompt="Geben Sie in dieser Spalte unter dieser Überschrift ein, ob ein Foto des Artikels existiert." sqref="L5" xr:uid="{00000000-0002-0000-0000-00001D000000}"/>
  </dataValidations>
  <hyperlinks>
    <hyperlink ref="F6" r:id="rId1" xr:uid="{3BE9EBED-A3A7-4EA5-81E5-147F06F918A7}"/>
    <hyperlink ref="L6" r:id="rId2" xr:uid="{05AC2408-DC20-46A8-8CA4-EF09BF4EB06B}"/>
    <hyperlink ref="F7" r:id="rId3" xr:uid="{6F18FA2B-0DD9-40AF-83BF-AF7D0DE6395F}"/>
    <hyperlink ref="F8" r:id="rId4" xr:uid="{B65A864F-CB98-473F-A8A1-06CFC19C0AEC}"/>
    <hyperlink ref="L7" r:id="rId5" xr:uid="{14921BA8-3A31-43C4-9CA2-BCDA3AB80FF3}"/>
    <hyperlink ref="L8" r:id="rId6" xr:uid="{1FF0F761-20FC-4E96-BB9F-EBB7C389D1A5}"/>
    <hyperlink ref="L10" r:id="rId7" xr:uid="{AA6BB336-BAE8-4C27-83F6-9390BB13D7BE}"/>
    <hyperlink ref="L9" r:id="rId8" xr:uid="{89B07B97-162D-4899-87CC-1F897CCD9518}"/>
    <hyperlink ref="F12" r:id="rId9" xr:uid="{E8A837B8-D74F-41AC-B5CE-C1E7247BEF72}"/>
    <hyperlink ref="F11" r:id="rId10" xr:uid="{A69AD3E7-2B75-47A4-98C5-BB40D9A020B9}"/>
    <hyperlink ref="F9" r:id="rId11" xr:uid="{A6E2347C-19BD-4410-B04D-F919748D7F5B}"/>
    <hyperlink ref="F10" r:id="rId12" xr:uid="{34208771-14FD-437F-A7D8-3D7537F166F6}"/>
    <hyperlink ref="F13" r:id="rId13" xr:uid="{A0A15658-DB89-4691-9E5E-2C8567690796}"/>
    <hyperlink ref="F14" r:id="rId14" xr:uid="{E35F48C2-FE32-4616-BDD8-8C1A616EE696}"/>
    <hyperlink ref="F15" r:id="rId15" xr:uid="{217BA0A6-1C47-4287-9D38-30BF5B36AE31}"/>
    <hyperlink ref="L16" r:id="rId16" xr:uid="{A4DD0345-1532-43EF-84E5-7782497544A5}"/>
  </hyperlinks>
  <printOptions horizontalCentered="1"/>
  <pageMargins left="0.25" right="0.25" top="1" bottom="1" header="0.5" footer="0.5"/>
  <pageSetup scale="54" fitToHeight="0" orientation="landscape" horizontalDpi="300" verticalDpi="300" r:id="rId17"/>
  <headerFooter differentFirst="1" alignWithMargins="0">
    <oddFooter>Page &amp;P of &amp;N</oddFooter>
  </headerFooter>
  <ignoredErrors>
    <ignoredError sqref="D10 C26" numberStoredAsText="1"/>
  </ignoredErrors>
  <tableParts count="1">
    <tablePart r:id="rId18"/>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vt:i4>
      </vt:variant>
      <vt:variant>
        <vt:lpstr>Benannte Bereiche</vt:lpstr>
      </vt:variant>
      <vt:variant>
        <vt:i4>4</vt:i4>
      </vt:variant>
    </vt:vector>
  </HeadingPairs>
  <TitlesOfParts>
    <vt:vector size="5" baseType="lpstr">
      <vt:lpstr>Bestandsliste Privathaushalt</vt:lpstr>
      <vt:lpstr>'Bestandsliste Privathaushalt'!Drucktitel</vt:lpstr>
      <vt:lpstr>Lieferungskosten</vt:lpstr>
      <vt:lpstr>Name</vt:lpstr>
      <vt:lpstr>ZeilenTitelBereich1..C10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Petar Hristov</dc:creator>
  <cp:lastModifiedBy>Petar Hristov</cp:lastModifiedBy>
  <dcterms:created xsi:type="dcterms:W3CDTF">2017-11-25T19:30:31Z</dcterms:created>
  <dcterms:modified xsi:type="dcterms:W3CDTF">2019-09-24T19:03:15Z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v-audrs@microsoft.com</vt:lpwstr>
  </property>
  <property fmtid="{D5CDD505-2E9C-101B-9397-08002B2CF9AE}" pid="5" name="MSIP_Label_f42aa342-8706-4288-bd11-ebb85995028c_SetDate">
    <vt:lpwstr>2017-11-25T19:30:35.6832990Z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Extended_MSFT_Method">
    <vt:lpwstr>Automatic</vt:lpwstr>
  </property>
  <property fmtid="{D5CDD505-2E9C-101B-9397-08002B2CF9AE}" pid="9" name="Sensitivity">
    <vt:lpwstr>General</vt:lpwstr>
  </property>
</Properties>
</file>