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rk1" sheetId="1" r:id="rId3"/>
  </sheets>
  <definedNames/>
  <calcPr/>
</workbook>
</file>

<file path=xl/sharedStrings.xml><?xml version="1.0" encoding="utf-8"?>
<sst xmlns="http://schemas.openxmlformats.org/spreadsheetml/2006/main" count="47" uniqueCount="43">
  <si>
    <t>Parts list</t>
  </si>
  <si>
    <t>Part</t>
  </si>
  <si>
    <t>Comment</t>
  </si>
  <si>
    <t>Link</t>
  </si>
  <si>
    <t>Quantity</t>
  </si>
  <si>
    <t>Price ($)</t>
  </si>
  <si>
    <t>Total ($)</t>
  </si>
  <si>
    <t>nRF24 module</t>
  </si>
  <si>
    <t>The module uses a ceramic antenna and is sometimes broken - buy a few spares.</t>
  </si>
  <si>
    <t>https://www.aliexpress.com/item/SMD-NRF24L01-1100-meter-long-distance-NRF24L01-PA-LNA-SMD-wireless-modules-1100meters-in-stock-fast/32367254718.html</t>
  </si>
  <si>
    <t>Arduino Nano</t>
  </si>
  <si>
    <t>I recommend buying a Nano with a dedicated 3.3V regulator (otherwise you will need a big capacitor on the 3.3V rail).</t>
  </si>
  <si>
    <t>https://www.aliexpress.com/item/Nano-V3-ATmega328-CH340G-Micro-USB-Pin-headers-NOT-soldered-Compatible-for-Arduino-Nano-V3-0/32664577152.html</t>
  </si>
  <si>
    <t>Hall-Effect sensor (SS495A)</t>
  </si>
  <si>
    <t>-</t>
  </si>
  <si>
    <t>http://www.mouser.dk/ProductDetail/Honeywell/SS495A/?qs=%2ffq2y7sSKcKEzWT94S3drA==</t>
  </si>
  <si>
    <t xml:space="preserve">Magnets </t>
  </si>
  <si>
    <r>
      <t xml:space="preserve">Select size </t>
    </r>
    <r>
      <rPr>
        <b/>
      </rPr>
      <t>5*5mm</t>
    </r>
    <r>
      <t xml:space="preserve"> and choose the pack with 5 magnets (two is needed).</t>
    </r>
  </si>
  <si>
    <t>http://www.ebay.com/itm/Wholesale-N52-Neodymium-Block-Round-Disc-Ring-Hole-Rare-Earth-Fridge-Magnets-/361925388070?var=&amp;hash=item54446f2726:m:mS_DxDXe8QbSJuWLOJaNBkg</t>
  </si>
  <si>
    <t>Boost converter board</t>
  </si>
  <si>
    <t>http://www.ebay.com/itm/1pcs-DC-DC-Converter-Step-Up-Boost-Module-1A-3V-to-5V-NEW/252446433345?_trksid=p2047675.c100005.m1851&amp;_trkparms=aid%3D222007%26algo%3DSIM.MBE%26ao%3D2%26asc%3D41375%26meid%3Db4c8c488282b4e32b0dd01dc5e843b11%26pid%3D100005%26rk%3D6%26rkt%3D6%26sd%3D132060427465</t>
  </si>
  <si>
    <t>Lithium battery 3.7V</t>
  </si>
  <si>
    <t>The battery size is named "502535" and can be found at many suppliers.</t>
  </si>
  <si>
    <t>https://www.aliexpress.com/store/product/502535-3-7V-300mAh-lithium-polymer-battery-for-MP3-player/818305_32215795542.html</t>
  </si>
  <si>
    <t>Battery charger board</t>
  </si>
  <si>
    <t>http://www.ebay.com/itm/Micro-USB-5V-1A-TP4056-Lithium-Li-Battery-Charging-Board-Charger-Module-/182108324849?hash=item2a668083f1:g:DZoAAOSw~oFXIHGo</t>
  </si>
  <si>
    <t>OLED display</t>
  </si>
  <si>
    <t>https://www.aliexpress.com/item/1pcs-SAMIORE-ROBOT-0-91-inch-OLED-module-0-91-white-OLED-128X32-OLED-LCD-LED/32672229793.html</t>
  </si>
  <si>
    <t>Micro switch</t>
  </si>
  <si>
    <t>This switch is used as the trigger switch.</t>
  </si>
  <si>
    <t>https://www.aliexpress.com/item/10Pcs-Micro-Switch-Push-Button-Switch-1A-125V-AC-Mouse-Switch-3Pins/32802664696.html</t>
  </si>
  <si>
    <t>Wire</t>
  </si>
  <si>
    <t>I recommend buying the wire in 6-7 different colors 26-30 AWG.</t>
  </si>
  <si>
    <t>https://hobbyking.com/en_us/turnigy-high-quality-30awg-silicone-wire-1m-red.html</t>
  </si>
  <si>
    <t xml:space="preserve">20mm spring </t>
  </si>
  <si>
    <r>
      <t xml:space="preserve">Select any size with a lenght of </t>
    </r>
    <r>
      <rPr>
        <b/>
      </rPr>
      <t>20mm.</t>
    </r>
  </si>
  <si>
    <t>http://www.ebay.com/itm/10pcs-Stainless-Steel-Expansion-Spring-Tension-Extension-Expanding-Various-Size-/222582159338?var=&amp;hash=item33d2ee37ea:m:maKHeLr0bEWTwTNJfRVf0jg</t>
  </si>
  <si>
    <t xml:space="preserve">M4 12mm bolts </t>
  </si>
  <si>
    <t>https://hobbyking.com/en_us/metal-round-head-machine-hex-screw-m4x12-10pcs-set.html</t>
  </si>
  <si>
    <t>Micro USB</t>
  </si>
  <si>
    <t xml:space="preserve">- </t>
  </si>
  <si>
    <t>https://www.aliexpress.com/item/10-sets-per-lot-DIY-Micro-USB-2-0-B-type-Female-5-Pin-Socket-solder/32759191823.html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</si>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</sst>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8.0"/>
      <name val="Cambria"/>
    </font>
    <font>
      <b/>
      <sz val="12.0"/>
      <name val="Cambria"/>
    </font>
    <font>
      <sz val="11.0"/>
      <name val="Cambria"/>
    </font>
    <font>
      <u/>
      <sz val="11.0"/>
      <color rgb="FF0000FF"/>
      <name val="Cambria"/>
    </font>
    <font>
      <sz val="11.0"/>
      <name val="Consolas"/>
    </font>
    <font>
      <sz val="11.0"/>
      <color rgb="FF000000"/>
      <name val="Cambria"/>
    </font>
    <font>
      <b/>
      <sz val="11.0"/>
      <name val="Cambria"/>
    </font>
    <font>
      <b/>
    </font>
    <font>
      <b/>
      <sz val="14.0"/>
      <name val="Consolas"/>
    </font>
    <font>
      <b/>
      <sz val="14.0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  <xf borderId="0" fillId="0" fontId="5" numFmtId="2" xfId="0" applyFont="1" applyNumberFormat="1"/>
    <xf borderId="0" fillId="0" fontId="5" numFmtId="0" xfId="0" applyAlignment="1" applyFont="1">
      <alignment horizontal="right" readingOrder="0" vertical="center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2" xfId="0" applyFont="1" applyNumberFormat="1"/>
    <xf borderId="0" fillId="0" fontId="10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ebay.com/itm/10pcs-Stainless-Steel-Expansion-Spring-Tension-Extension-Expanding-Various-Size-/222582159338?var=&amp;hash=item33d2ee37ea:m:maKHeLr0bEWTwTNJfRVf0jg" TargetMode="External"/><Relationship Id="rId10" Type="http://schemas.openxmlformats.org/officeDocument/2006/relationships/hyperlink" Target="https://hobbyking.com/en_us/turnigy-high-quality-30awg-silicone-wire-1m-red.html" TargetMode="External"/><Relationship Id="rId13" Type="http://schemas.openxmlformats.org/officeDocument/2006/relationships/hyperlink" Target="https://www.aliexpress.com/item/10-sets-per-lot-DIY-Micro-USB-2-0-B-type-Female-5-Pin-Socket-solder/32759191823.html" TargetMode="External"/><Relationship Id="rId12" Type="http://schemas.openxmlformats.org/officeDocument/2006/relationships/hyperlink" Target="https://hobbyking.com/en_us/metal-round-head-machine-hex-screw-m4x12-10pcs-set.html" TargetMode="External"/><Relationship Id="rId1" Type="http://schemas.openxmlformats.org/officeDocument/2006/relationships/hyperlink" Target="https://www.aliexpress.com/item/SMD-NRF24L01-1100-meter-long-distance-NRF24L01-PA-LNA-SMD-wireless-modules-1100meters-in-stock-fast/32367254718.html" TargetMode="External"/><Relationship Id="rId2" Type="http://schemas.openxmlformats.org/officeDocument/2006/relationships/hyperlink" Target="https://www.aliexpress.com/item/Nano-V3-ATmega328-CH340G-Micro-USB-Pin-headers-NOT-soldered-Compatible-for-Arduino-Nano-V3-0/32664577152.html" TargetMode="External"/><Relationship Id="rId3" Type="http://schemas.openxmlformats.org/officeDocument/2006/relationships/hyperlink" Target="http://www.mouser.dk/ProductDetail/Honeywell/SS495A/?qs=%2ffq2y7sSKcKEzWT94S3drA==" TargetMode="External"/><Relationship Id="rId4" Type="http://schemas.openxmlformats.org/officeDocument/2006/relationships/hyperlink" Target="http://www.ebay.com/itm/Wholesale-N52-Neodymium-Block-Round-Disc-Ring-Hole-Rare-Earth-Fridge-Magnets-/361925388070?var=&amp;hash=item54446f2726:m:mS_DxDXe8QbSJuWLOJaNBkg" TargetMode="External"/><Relationship Id="rId9" Type="http://schemas.openxmlformats.org/officeDocument/2006/relationships/hyperlink" Target="https://www.aliexpress.com/item/10Pcs-Micro-Switch-Push-Button-Switch-1A-125V-AC-Mouse-Switch-3Pins/32802664696.html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www.ebay.com/itm/1pcs-DC-DC-Converter-Step-Up-Boost-Module-1A-3V-to-5V-NEW/252446433345?_trksid=p2047675.c100005.m1851&amp;_trkparms=aid%3D222007%26algo%3DSIM.MBE%26ao%3D2%26asc%3D41375%26meid%3Db4c8c488282b4e32b0dd01dc5e843b11%26pid%3D100005%26rk%3D6%26rkt%3D6%26sd%3D132060427465" TargetMode="External"/><Relationship Id="rId6" Type="http://schemas.openxmlformats.org/officeDocument/2006/relationships/hyperlink" Target="https://www.aliexpress.com/store/product/502535-3-7V-300mAh-lithium-polymer-battery-for-MP3-player/818305_32215795542.html" TargetMode="External"/><Relationship Id="rId7" Type="http://schemas.openxmlformats.org/officeDocument/2006/relationships/hyperlink" Target="http://www.ebay.com/itm/Micro-USB-5V-1A-TP4056-Lithium-Li-Battery-Charging-Board-Charger-Module-/182108324849?hash=item2a668083f1:g:DZoAAOSw~oFXIHGo" TargetMode="External"/><Relationship Id="rId8" Type="http://schemas.openxmlformats.org/officeDocument/2006/relationships/hyperlink" Target="https://www.aliexpress.com/item/1pcs-SAMIORE-ROBOT-0-91-inch-OLED-module-0-91-white-OLED-128X32-OLED-LCD-LED/326722297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57"/>
    <col customWidth="1" min="2" max="3" width="72.86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5" t="s">
        <v>9</v>
      </c>
      <c r="D3" s="6">
        <v>2.0</v>
      </c>
      <c r="E3" s="7">
        <v>3.19</v>
      </c>
      <c r="F3" s="8">
        <f t="shared" ref="F3:F15" si="1">D3*E3</f>
        <v>6.38</v>
      </c>
    </row>
    <row r="4">
      <c r="A4" s="4" t="s">
        <v>10</v>
      </c>
      <c r="B4" s="4" t="s">
        <v>11</v>
      </c>
      <c r="C4" s="5" t="s">
        <v>12</v>
      </c>
      <c r="D4" s="6">
        <v>2.0</v>
      </c>
      <c r="E4" s="7">
        <v>2.0</v>
      </c>
      <c r="F4" s="8">
        <f t="shared" si="1"/>
        <v>4</v>
      </c>
    </row>
    <row r="5">
      <c r="A5" s="4" t="s">
        <v>13</v>
      </c>
      <c r="B5" s="4" t="s">
        <v>14</v>
      </c>
      <c r="C5" s="5" t="s">
        <v>15</v>
      </c>
      <c r="D5" s="6">
        <v>1.0</v>
      </c>
      <c r="E5" s="7">
        <v>3.0</v>
      </c>
      <c r="F5" s="8">
        <f t="shared" si="1"/>
        <v>3</v>
      </c>
    </row>
    <row r="6">
      <c r="A6" s="4" t="s">
        <v>16</v>
      </c>
      <c r="B6" s="4" t="s">
        <v>17</v>
      </c>
      <c r="C6" s="5" t="s">
        <v>18</v>
      </c>
      <c r="D6" s="6">
        <v>1.0</v>
      </c>
      <c r="E6" s="7">
        <v>1.49</v>
      </c>
      <c r="F6" s="8">
        <f t="shared" si="1"/>
        <v>1.49</v>
      </c>
    </row>
    <row r="7">
      <c r="A7" s="4" t="s">
        <v>19</v>
      </c>
      <c r="B7" s="4" t="s">
        <v>14</v>
      </c>
      <c r="C7" s="5" t="s">
        <v>20</v>
      </c>
      <c r="D7" s="6">
        <v>1.0</v>
      </c>
      <c r="E7" s="7">
        <v>1.0</v>
      </c>
      <c r="F7" s="8">
        <f t="shared" si="1"/>
        <v>1</v>
      </c>
    </row>
    <row r="8">
      <c r="A8" s="4" t="s">
        <v>21</v>
      </c>
      <c r="B8" s="4" t="s">
        <v>22</v>
      </c>
      <c r="C8" s="5" t="s">
        <v>23</v>
      </c>
      <c r="D8" s="9">
        <v>1.0</v>
      </c>
      <c r="E8" s="7">
        <v>4.95</v>
      </c>
      <c r="F8" s="8">
        <f t="shared" si="1"/>
        <v>4.95</v>
      </c>
    </row>
    <row r="9">
      <c r="A9" s="4" t="s">
        <v>24</v>
      </c>
      <c r="B9" s="4" t="s">
        <v>14</v>
      </c>
      <c r="C9" s="5" t="s">
        <v>25</v>
      </c>
      <c r="D9" s="6">
        <v>1.0</v>
      </c>
      <c r="E9" s="7">
        <v>1.0</v>
      </c>
      <c r="F9" s="8">
        <f t="shared" si="1"/>
        <v>1</v>
      </c>
    </row>
    <row r="10">
      <c r="A10" s="10" t="s">
        <v>26</v>
      </c>
      <c r="B10" s="11" t="s">
        <v>14</v>
      </c>
      <c r="C10" s="5" t="s">
        <v>27</v>
      </c>
      <c r="D10" s="6">
        <v>1.0</v>
      </c>
      <c r="E10" s="7">
        <v>2.49</v>
      </c>
      <c r="F10" s="8">
        <f t="shared" si="1"/>
        <v>2.49</v>
      </c>
    </row>
    <row r="11">
      <c r="A11" s="4" t="s">
        <v>28</v>
      </c>
      <c r="B11" s="4" t="s">
        <v>29</v>
      </c>
      <c r="C11" s="5" t="s">
        <v>30</v>
      </c>
      <c r="D11" s="6">
        <v>1.0</v>
      </c>
      <c r="E11" s="7">
        <v>2.0</v>
      </c>
      <c r="F11" s="8">
        <f t="shared" si="1"/>
        <v>2</v>
      </c>
    </row>
    <row r="12">
      <c r="A12" s="4" t="s">
        <v>31</v>
      </c>
      <c r="B12" s="4" t="s">
        <v>32</v>
      </c>
      <c r="C12" s="5" t="s">
        <v>33</v>
      </c>
      <c r="D12" s="6">
        <v>6.0</v>
      </c>
      <c r="E12" s="7">
        <v>0.7</v>
      </c>
      <c r="F12" s="8">
        <f t="shared" si="1"/>
        <v>4.2</v>
      </c>
    </row>
    <row r="13">
      <c r="A13" s="4" t="s">
        <v>34</v>
      </c>
      <c r="B13" s="4" t="s">
        <v>35</v>
      </c>
      <c r="C13" s="5" t="s">
        <v>36</v>
      </c>
      <c r="D13" s="6">
        <v>1.0</v>
      </c>
      <c r="E13" s="7">
        <v>5.0</v>
      </c>
      <c r="F13" s="8">
        <f t="shared" si="1"/>
        <v>5</v>
      </c>
    </row>
    <row r="14">
      <c r="A14" s="4" t="s">
        <v>37</v>
      </c>
      <c r="B14" s="4" t="s">
        <v>14</v>
      </c>
      <c r="C14" s="5" t="s">
        <v>38</v>
      </c>
      <c r="D14" s="6">
        <v>1.0</v>
      </c>
      <c r="E14" s="7">
        <v>0.85</v>
      </c>
      <c r="F14" s="8">
        <f t="shared" si="1"/>
        <v>0.85</v>
      </c>
    </row>
    <row r="15">
      <c r="A15" s="4" t="s">
        <v>39</v>
      </c>
      <c r="B15" s="4" t="s">
        <v>40</v>
      </c>
      <c r="C15" s="5" t="s">
        <v>41</v>
      </c>
      <c r="D15" s="6">
        <v>1.0</v>
      </c>
      <c r="E15" s="7">
        <v>1.9</v>
      </c>
      <c r="F15" s="8">
        <f t="shared" si="1"/>
        <v>1.9</v>
      </c>
    </row>
    <row r="16" ht="30.75" customHeight="1">
      <c r="C16" s="12"/>
      <c r="D16" s="12"/>
      <c r="E16" s="2" t="s">
        <v>42</v>
      </c>
      <c r="F16" s="13">
        <f>sum(F3:F15)</f>
        <v>38.26</v>
      </c>
    </row>
    <row r="20">
      <c r="A20" s="14"/>
      <c r="B20" s="14"/>
      <c r="C20" s="14"/>
      <c r="D20" s="14"/>
      <c r="E20" s="14"/>
    </row>
    <row r="21">
      <c r="A21" s="12"/>
      <c r="B21" s="12"/>
      <c r="C21" s="12"/>
      <c r="D21" s="15"/>
      <c r="E21" s="15"/>
      <c r="F21" s="15"/>
    </row>
    <row r="22">
      <c r="A22" s="16"/>
      <c r="B22" s="16"/>
      <c r="C22" s="16"/>
      <c r="D22" s="16"/>
      <c r="E22" s="16"/>
    </row>
    <row r="23">
      <c r="A23" s="16"/>
      <c r="B23" s="16"/>
      <c r="C23" s="16"/>
      <c r="D23" s="16"/>
      <c r="E23" s="16"/>
    </row>
    <row r="24">
      <c r="A24" s="16"/>
      <c r="B24" s="16"/>
      <c r="C24" s="16"/>
      <c r="D24" s="16"/>
      <c r="E24" s="16"/>
    </row>
    <row r="25">
      <c r="E25" s="12"/>
      <c r="F25" s="17"/>
    </row>
  </sheetData>
  <mergeCells count="1">
    <mergeCell ref="A1:E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</hyperlinks>
  <drawing r:id="rId14"/>
</worksheet>
</file>